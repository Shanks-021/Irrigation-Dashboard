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fim-my.sharepoint.com/personal/nitin_bhoyar_netafim_com/Documents/Desktop/"/>
    </mc:Choice>
  </mc:AlternateContent>
  <xr:revisionPtr revIDLastSave="98" documentId="8_{AEB12843-95E6-4243-A827-D6789D5B97D4}" xr6:coauthVersionLast="47" xr6:coauthVersionMax="47" xr10:uidLastSave="{54DEEA97-E50B-4AE9-A000-4AE166E0F8CD}"/>
  <bookViews>
    <workbookView xWindow="-110" yWindow="-110" windowWidth="19420" windowHeight="10300" xr2:uid="{6CB7EA76-1BDC-480C-9937-B5001AA526F8}"/>
  </bookViews>
  <sheets>
    <sheet name="Sheet1" sheetId="1" r:id="rId1"/>
    <sheet name="Sheet2" sheetId="2" r:id="rId2"/>
  </sheets>
  <definedNames>
    <definedName name="_xlnm._FilterDatabase" localSheetId="0" hidden="1">Sheet1!$A$2:$AT$57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7" i="1" l="1"/>
  <c r="AL55" i="1"/>
  <c r="AL53" i="1"/>
  <c r="AL51" i="1"/>
  <c r="AL49" i="1"/>
  <c r="AL44" i="1"/>
  <c r="AL42" i="1"/>
  <c r="AL37" i="1"/>
  <c r="AL35" i="1"/>
  <c r="AL33" i="1"/>
  <c r="AL31" i="1"/>
  <c r="AL28" i="1"/>
  <c r="AL27" i="1"/>
  <c r="AL26" i="1"/>
  <c r="AL24" i="1"/>
  <c r="AL22" i="1"/>
  <c r="AL19" i="1"/>
  <c r="AL16" i="1"/>
  <c r="AL14" i="1"/>
  <c r="AL13" i="1"/>
  <c r="AL12" i="1"/>
  <c r="AL6" i="1"/>
  <c r="AL3" i="1"/>
  <c r="Y51" i="1"/>
  <c r="Y49" i="1"/>
  <c r="Y42" i="1"/>
  <c r="AL41" i="1"/>
  <c r="Y33" i="1"/>
  <c r="AJ55" i="1"/>
  <c r="AJ53" i="1"/>
  <c r="AJ51" i="1"/>
  <c r="AJ49" i="1"/>
  <c r="AJ44" i="1"/>
  <c r="AJ42" i="1"/>
  <c r="AJ41" i="1"/>
  <c r="AJ37" i="1"/>
  <c r="AJ35" i="1"/>
  <c r="AJ27" i="1"/>
  <c r="AJ31" i="1"/>
  <c r="AJ33" i="1"/>
  <c r="AJ28" i="1"/>
  <c r="AJ26" i="1"/>
  <c r="AJ24" i="1"/>
  <c r="Y24" i="1" s="1"/>
  <c r="AA24" i="1" s="1"/>
  <c r="AJ22" i="1"/>
  <c r="AJ19" i="1"/>
  <c r="AJ16" i="1"/>
  <c r="AJ14" i="1"/>
  <c r="AJ13" i="1"/>
  <c r="AJ12" i="1"/>
  <c r="AJ6" i="1"/>
  <c r="AJ3" i="1"/>
  <c r="Y31" i="1"/>
  <c r="AA31" i="1"/>
  <c r="Y55" i="1"/>
  <c r="Y53" i="1"/>
  <c r="Y44" i="1"/>
  <c r="Y41" i="1"/>
  <c r="Y37" i="1"/>
  <c r="AA37" i="1" s="1"/>
  <c r="Y35" i="1"/>
  <c r="Y22" i="1"/>
  <c r="AA22" i="1" s="1"/>
  <c r="Y19" i="1"/>
  <c r="AA19" i="1" s="1"/>
  <c r="Y14" i="1"/>
  <c r="AA14" i="1" s="1"/>
  <c r="Y12" i="1"/>
  <c r="AA12" i="1" s="1"/>
  <c r="Y28" i="1"/>
  <c r="AA28" i="1" s="1"/>
  <c r="Y27" i="1"/>
  <c r="AA27" i="1" s="1"/>
  <c r="Y26" i="1"/>
  <c r="AA26" i="1" s="1"/>
  <c r="Y16" i="1"/>
  <c r="AA16" i="1" s="1"/>
  <c r="Y13" i="1"/>
  <c r="AA13" i="1" s="1"/>
  <c r="Y6" i="1"/>
  <c r="AA6" i="1" s="1"/>
  <c r="Y3" i="1"/>
  <c r="AA3" i="1" s="1"/>
  <c r="AI42" i="1"/>
  <c r="G18" i="2"/>
  <c r="G17" i="2"/>
  <c r="G16" i="2"/>
  <c r="AI55" i="1"/>
  <c r="AI53" i="1"/>
  <c r="AI51" i="1"/>
  <c r="AI49" i="1"/>
  <c r="AI44" i="1"/>
  <c r="AI41" i="1"/>
  <c r="AI37" i="1"/>
  <c r="AI35" i="1"/>
  <c r="AI33" i="1"/>
  <c r="AI31" i="1"/>
  <c r="AI28" i="1"/>
  <c r="AI27" i="1"/>
  <c r="AI26" i="1"/>
  <c r="AI24" i="1"/>
  <c r="AI22" i="1"/>
  <c r="AI19" i="1"/>
  <c r="AI16" i="1"/>
  <c r="AI14" i="1"/>
  <c r="AI13" i="1"/>
  <c r="AI12" i="1"/>
  <c r="AI6" i="1"/>
  <c r="AI3" i="1"/>
  <c r="AF12" i="1"/>
  <c r="AG12" i="1" s="1"/>
  <c r="AD55" i="1"/>
  <c r="AD53" i="1"/>
  <c r="AD51" i="1"/>
  <c r="AD49" i="1"/>
  <c r="AD44" i="1"/>
  <c r="AD42" i="1"/>
  <c r="AD41" i="1"/>
  <c r="AD37" i="1"/>
  <c r="AD35" i="1"/>
  <c r="AD33" i="1"/>
  <c r="AD31" i="1"/>
  <c r="AD28" i="1"/>
  <c r="AD27" i="1"/>
  <c r="AD26" i="1"/>
  <c r="AD24" i="1"/>
  <c r="AD22" i="1"/>
  <c r="AD19" i="1"/>
  <c r="AD16" i="1"/>
  <c r="AD14" i="1"/>
  <c r="AD13" i="1"/>
  <c r="AD12" i="1"/>
  <c r="AD3" i="1"/>
  <c r="AC55" i="1"/>
  <c r="AC53" i="1"/>
  <c r="AC51" i="1"/>
  <c r="AC49" i="1"/>
  <c r="AC44" i="1"/>
  <c r="AC42" i="1"/>
  <c r="AC41" i="1"/>
  <c r="AC37" i="1"/>
  <c r="AC35" i="1"/>
  <c r="AC33" i="1"/>
  <c r="AC31" i="1"/>
  <c r="AC28" i="1"/>
  <c r="AC27" i="1"/>
  <c r="AC26" i="1"/>
  <c r="AC24" i="1"/>
  <c r="AC22" i="1"/>
  <c r="AC19" i="1"/>
  <c r="AC16" i="1"/>
  <c r="AC14" i="1"/>
  <c r="AC13" i="1"/>
  <c r="AC12" i="1"/>
  <c r="AC6" i="1"/>
  <c r="AC3" i="1"/>
  <c r="AF6" i="1"/>
  <c r="AG6" i="1" s="1"/>
  <c r="M57" i="1"/>
  <c r="H57" i="1"/>
  <c r="AF55" i="1"/>
  <c r="AG55" i="1" s="1"/>
  <c r="AF53" i="1"/>
  <c r="AG53" i="1" s="1"/>
  <c r="AF51" i="1"/>
  <c r="AG51" i="1" s="1"/>
  <c r="AF49" i="1"/>
  <c r="AG49" i="1" s="1"/>
  <c r="AF44" i="1"/>
  <c r="AG44" i="1" s="1"/>
  <c r="AF42" i="1"/>
  <c r="AG42" i="1" s="1"/>
  <c r="AF41" i="1"/>
  <c r="AF37" i="1"/>
  <c r="AG37" i="1" s="1"/>
  <c r="AF35" i="1"/>
  <c r="AG35" i="1" s="1"/>
  <c r="AF33" i="1"/>
  <c r="AG33" i="1" s="1"/>
  <c r="AF31" i="1"/>
  <c r="AG31" i="1" s="1"/>
  <c r="AF28" i="1"/>
  <c r="AG28" i="1" s="1"/>
  <c r="AF27" i="1"/>
  <c r="AF26" i="1"/>
  <c r="AG26" i="1" s="1"/>
  <c r="AF24" i="1"/>
  <c r="AG24" i="1" s="1"/>
  <c r="AF22" i="1"/>
  <c r="AG22" i="1" s="1"/>
  <c r="AF19" i="1"/>
  <c r="AG19" i="1" s="1"/>
  <c r="AF16" i="1"/>
  <c r="AG16" i="1" s="1"/>
  <c r="AF14" i="1"/>
  <c r="AG14" i="1" s="1"/>
  <c r="AF13" i="1"/>
  <c r="AG13" i="1" s="1"/>
  <c r="AF3" i="1"/>
  <c r="AG3" i="1" s="1"/>
  <c r="AI57" i="1" l="1"/>
  <c r="AJ57" i="1"/>
  <c r="AC57" i="1"/>
  <c r="AD57" i="1"/>
  <c r="AF57" i="1"/>
  <c r="AG27" i="1"/>
  <c r="AG57" i="1" s="1"/>
</calcChain>
</file>

<file path=xl/sharedStrings.xml><?xml version="1.0" encoding="utf-8"?>
<sst xmlns="http://schemas.openxmlformats.org/spreadsheetml/2006/main" count="407" uniqueCount="142">
  <si>
    <t>Sr No</t>
  </si>
  <si>
    <t>Sap No</t>
  </si>
  <si>
    <t>Farmer Name</t>
  </si>
  <si>
    <t>Mandal</t>
  </si>
  <si>
    <t>Mobile No</t>
  </si>
  <si>
    <t>Total Area</t>
  </si>
  <si>
    <t>Crop Name</t>
  </si>
  <si>
    <t>Sowing Date</t>
  </si>
  <si>
    <t>Misala Karunakar</t>
  </si>
  <si>
    <t>Bejgam</t>
  </si>
  <si>
    <t>Gajwel</t>
  </si>
  <si>
    <t>Maize</t>
  </si>
  <si>
    <t xml:space="preserve">10th Oct  2025 </t>
  </si>
  <si>
    <t>Pumpkin</t>
  </si>
  <si>
    <t>Misala Renuka</t>
  </si>
  <si>
    <t xml:space="preserve">20th Oct  2025 </t>
  </si>
  <si>
    <t>Misala Buchaih</t>
  </si>
  <si>
    <t>Tomato</t>
  </si>
  <si>
    <t xml:space="preserve">10th Dec  2025 </t>
  </si>
  <si>
    <t>Misala Mallamma</t>
  </si>
  <si>
    <t xml:space="preserve">15th Dec  2025 </t>
  </si>
  <si>
    <t>Misala Ramesh</t>
  </si>
  <si>
    <t>7th Jan 2026</t>
  </si>
  <si>
    <t>Misala Lavnya</t>
  </si>
  <si>
    <t>23rd  Nov 2025</t>
  </si>
  <si>
    <t>Mr Chepyala Govardhan Reddy</t>
  </si>
  <si>
    <t>Bayyaram</t>
  </si>
  <si>
    <t>Sunflower</t>
  </si>
  <si>
    <t>10th Jan 2026</t>
  </si>
  <si>
    <t>Mr Chepyala Gopal reddy</t>
  </si>
  <si>
    <t>23rd Nov 2025</t>
  </si>
  <si>
    <t>Erolla Ramallu</t>
  </si>
  <si>
    <t>Arepally</t>
  </si>
  <si>
    <t>29th Dec 2025</t>
  </si>
  <si>
    <t xml:space="preserve">Huseen Bee </t>
  </si>
  <si>
    <t>Kayyam Nagamani</t>
  </si>
  <si>
    <t>Kayyam Chandra Reddy</t>
  </si>
  <si>
    <t>Chakali Swami</t>
  </si>
  <si>
    <t>14th Oct 2025</t>
  </si>
  <si>
    <t>Chakali Laxmi</t>
  </si>
  <si>
    <t xml:space="preserve">15th Nov 2025 </t>
  </si>
  <si>
    <t>Beans</t>
  </si>
  <si>
    <t>Kummari Pochaiah</t>
  </si>
  <si>
    <t>5th Jan 2026</t>
  </si>
  <si>
    <t>Mrs Kolichelimala Akhila</t>
  </si>
  <si>
    <t>Bandkella Srinivas</t>
  </si>
  <si>
    <t>Bandkella Ragunamma</t>
  </si>
  <si>
    <t>Miridoddi Venu</t>
  </si>
  <si>
    <t>Vancha Narasa Reddy</t>
  </si>
  <si>
    <t>BCD Narayana Reddy</t>
  </si>
  <si>
    <t>BCD Ram Reddy</t>
  </si>
  <si>
    <t>BCD Priyanka Reddy</t>
  </si>
  <si>
    <t>Mr Vanka Kondaiah</t>
  </si>
  <si>
    <t>Mr V.Bhoopat Reddy</t>
  </si>
  <si>
    <t>Surakanti Balamani</t>
  </si>
  <si>
    <t xml:space="preserve">27th oct 2025 </t>
  </si>
  <si>
    <t>Surakanti Drakshani</t>
  </si>
  <si>
    <t>4th Jan 2026</t>
  </si>
  <si>
    <t>Narra Swami</t>
  </si>
  <si>
    <t>6th Jan 2026</t>
  </si>
  <si>
    <t>Narra Kankaraju</t>
  </si>
  <si>
    <t>Maize and Chilli</t>
  </si>
  <si>
    <t xml:space="preserve">20th oct 2025 </t>
  </si>
  <si>
    <t>Dubbala Sugnamma</t>
  </si>
  <si>
    <t>5th Nov 2025</t>
  </si>
  <si>
    <t>Mr Thummala Narsaiah</t>
  </si>
  <si>
    <t>14th Jan 2026</t>
  </si>
  <si>
    <t>Tomato and Qualiflower</t>
  </si>
  <si>
    <t>Hamida Begum</t>
  </si>
  <si>
    <t>8th Jan 2026</t>
  </si>
  <si>
    <t>12th Jan 2026</t>
  </si>
  <si>
    <t>Mohammad Sahib Hussain</t>
  </si>
  <si>
    <t>Mohammad Reshma Begum</t>
  </si>
  <si>
    <t>Ande Yadamma</t>
  </si>
  <si>
    <t>Nov 28th 2025</t>
  </si>
  <si>
    <t>Ande Sattaiah</t>
  </si>
  <si>
    <t>Mohammad Babumiya</t>
  </si>
  <si>
    <t>Mohammad Kubra Bee</t>
  </si>
  <si>
    <t>Mohammad Shadulla</t>
  </si>
  <si>
    <t>Chinthakinda Narsinga Rao</t>
  </si>
  <si>
    <t>18th Jan 2026</t>
  </si>
  <si>
    <t>Before &amp; After Instalation Sowing done  Area (Acre )</t>
  </si>
  <si>
    <t>Cluster Beans</t>
  </si>
  <si>
    <t>As On Date water used for Crop                             (  in liters )</t>
  </si>
  <si>
    <t>Total</t>
  </si>
  <si>
    <t>Water Meter Reading data                 date</t>
  </si>
  <si>
    <t>As On Date water used for Crop                             ( Per Acer in liters )</t>
  </si>
  <si>
    <t>Village Name</t>
  </si>
  <si>
    <t>State</t>
  </si>
  <si>
    <t>Telangana</t>
  </si>
  <si>
    <t>Expected Harvest Date</t>
  </si>
  <si>
    <t>Crop Stage (Vegetative/Flowering)</t>
  </si>
  <si>
    <t>Irrigation Method used earlier</t>
  </si>
  <si>
    <t>No of irrigation given earlier</t>
  </si>
  <si>
    <t>Water used in Flood irrigation m^3</t>
  </si>
  <si>
    <t>Average water used Irrigation in m^3</t>
  </si>
  <si>
    <t>Source of water</t>
  </si>
  <si>
    <t>Irrigatipon duration per cycle (hours)</t>
  </si>
  <si>
    <t xml:space="preserve">Pump rate </t>
  </si>
  <si>
    <t xml:space="preserve">Farmer &amp; Field details </t>
  </si>
  <si>
    <t>Crop Details</t>
  </si>
  <si>
    <t>Flood Irrigation data (Before Drip)</t>
  </si>
  <si>
    <t>Drip Irrigation Data</t>
  </si>
  <si>
    <t>Drip Installation Date</t>
  </si>
  <si>
    <t>No of Irrigations Given</t>
  </si>
  <si>
    <t>Average water used per Irrigation m^3</t>
  </si>
  <si>
    <t>Total water used in drip irrigation m^3</t>
  </si>
  <si>
    <t>Irrigation duration per cycle</t>
  </si>
  <si>
    <t xml:space="preserve">Water meter reading end </t>
  </si>
  <si>
    <t xml:space="preserve">Total water consumtption </t>
  </si>
  <si>
    <t>Water saved m^3</t>
  </si>
  <si>
    <t>Yield before Flood</t>
  </si>
  <si>
    <t>Yield after drip</t>
  </si>
  <si>
    <t>Fertilizer saving approx%</t>
  </si>
  <si>
    <t>Electricity saving (approx%)</t>
  </si>
  <si>
    <t>Labour saving</t>
  </si>
  <si>
    <t>Input cost reduction</t>
  </si>
  <si>
    <t>Impact Assesment</t>
  </si>
  <si>
    <t>Bore Well</t>
  </si>
  <si>
    <t>Sump</t>
  </si>
  <si>
    <t>Water Meter Reding data     ( In M3 ) 10/02/2026</t>
  </si>
  <si>
    <t>Drip Material Supply Date</t>
  </si>
  <si>
    <t>Flood Irrigation</t>
  </si>
  <si>
    <t>Floood Irrigation</t>
  </si>
  <si>
    <t>Flood Irigation</t>
  </si>
  <si>
    <t>Water Meter Reding data     ( In M3 ) 30/01/2026</t>
  </si>
  <si>
    <t>Cucumber</t>
  </si>
  <si>
    <t>8th feb 2026</t>
  </si>
  <si>
    <t>Water Meter Reding data     ( In M3 ) 18/02/2026</t>
  </si>
  <si>
    <t>10th March 2026</t>
  </si>
  <si>
    <t>25th March 2026</t>
  </si>
  <si>
    <t>10th April 2026</t>
  </si>
  <si>
    <t>20th March 2026</t>
  </si>
  <si>
    <t>15th April 2026</t>
  </si>
  <si>
    <t>20th Feb 2026</t>
  </si>
  <si>
    <t>28th Feb 2026</t>
  </si>
  <si>
    <t>25th Nov 2025</t>
  </si>
  <si>
    <t>28th April 2026</t>
  </si>
  <si>
    <t>HARVESTED</t>
  </si>
  <si>
    <t>5th March 2026</t>
  </si>
  <si>
    <t>Harvesting  started</t>
  </si>
  <si>
    <t>10th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</si>
</sst>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2" fillId="0" borderId="2" xfId="0" applyNumberFormat="1" applyFont="1" applyBorder="1" applyAlignment="1">
      <alignment vertical="center" wrapText="1"/>
    </xf>
    <xf numFmtId="164" fontId="2" fillId="0" borderId="4" xfId="0" applyNumberFormat="1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164" fontId="3" fillId="0" borderId="2" xfId="0" applyNumberFormat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 wrapText="1"/>
    </xf>
    <xf numFmtId="164" fontId="3" fillId="0" borderId="4" xfId="0" applyNumberFormat="1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left" vertical="center" wrapText="1"/>
    </xf>
    <xf numFmtId="164" fontId="3" fillId="0" borderId="3" xfId="0" applyNumberFormat="1" applyFont="1" applyBorder="1" applyAlignment="1">
      <alignment horizontal="left" vertical="center" wrapText="1"/>
    </xf>
    <xf numFmtId="164" fontId="3" fillId="0" borderId="4" xfId="0" applyNumberFormat="1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left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FD35-7FF5-4897-B4F8-4124B1763283}">
  <dimension ref="A1:AT57"/>
  <sheetViews>
    <sheetView tabSelected="1" topLeftCell="AC1" workbookViewId="0">
      <selection activeCell="AJ3" sqref="AJ3:AJ5"/>
    </sheetView>
  </sheetViews>
  <sheetFormatPr defaultRowHeight="14.5" x14ac:dyDescent="0.35"/>
  <cols>
    <col min="3" max="3" width="29.6328125" customWidth="1"/>
    <col min="4" max="4" width="10.6328125" style="16" customWidth="1"/>
    <col min="5" max="5" width="12.1796875" style="16" customWidth="1"/>
    <col min="6" max="6" width="14.453125" customWidth="1"/>
    <col min="7" max="7" width="17.453125" customWidth="1"/>
    <col min="8" max="8" width="8.7265625" customWidth="1"/>
    <col min="9" max="9" width="22.54296875" customWidth="1"/>
    <col min="10" max="10" width="14.36328125" customWidth="1"/>
    <col min="11" max="11" width="21.36328125" bestFit="1" customWidth="1"/>
    <col min="12" max="12" width="22.81640625" customWidth="1"/>
    <col min="13" max="16" width="15.453125" customWidth="1"/>
    <col min="17" max="17" width="15.453125" style="16" customWidth="1"/>
    <col min="18" max="20" width="15.453125" customWidth="1"/>
    <col min="21" max="21" width="15.90625" style="8" customWidth="1"/>
    <col min="22" max="22" width="17.6328125" style="8" customWidth="1"/>
    <col min="23" max="23" width="18.90625" style="8" customWidth="1"/>
    <col min="24" max="24" width="15.90625" style="16" customWidth="1"/>
    <col min="25" max="26" width="15.90625" style="8" customWidth="1"/>
    <col min="27" max="27" width="15.90625" style="31" customWidth="1"/>
    <col min="28" max="28" width="12.453125" style="8" customWidth="1"/>
    <col min="29" max="30" width="20.26953125" style="8" customWidth="1"/>
    <col min="31" max="31" width="12.453125" style="8" customWidth="1"/>
    <col min="32" max="33" width="20.26953125" style="8" customWidth="1"/>
    <col min="34" max="34" width="12.453125" style="8" customWidth="1"/>
    <col min="35" max="37" width="20.26953125" style="8" customWidth="1"/>
    <col min="38" max="38" width="11.81640625" customWidth="1"/>
    <col min="39" max="39" width="17.36328125" bestFit="1" customWidth="1"/>
    <col min="40" max="40" width="15.90625" bestFit="1" customWidth="1"/>
    <col min="41" max="41" width="13.1796875" bestFit="1" customWidth="1"/>
    <col min="42" max="42" width="21.81640625" bestFit="1" customWidth="1"/>
    <col min="43" max="43" width="24.1796875" bestFit="1" customWidth="1"/>
    <col min="44" max="44" width="12.26953125" bestFit="1" customWidth="1"/>
    <col min="45" max="45" width="17.81640625" bestFit="1" customWidth="1"/>
  </cols>
  <sheetData>
    <row r="1" spans="1:46" x14ac:dyDescent="0.35">
      <c r="A1" s="64" t="s">
        <v>99</v>
      </c>
      <c r="B1" s="64"/>
      <c r="C1" s="64"/>
      <c r="D1" s="64"/>
      <c r="E1" s="64"/>
      <c r="F1" s="64"/>
      <c r="G1" s="64"/>
      <c r="H1" s="65" t="s">
        <v>100</v>
      </c>
      <c r="I1" s="65"/>
      <c r="J1" s="65"/>
      <c r="K1" s="65"/>
      <c r="L1" s="65"/>
      <c r="M1" s="65"/>
      <c r="N1" s="64" t="s">
        <v>101</v>
      </c>
      <c r="O1" s="64"/>
      <c r="P1" s="64"/>
      <c r="Q1" s="64"/>
      <c r="R1" s="64"/>
      <c r="S1" s="64"/>
      <c r="T1" s="64"/>
      <c r="U1" s="78" t="s">
        <v>102</v>
      </c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7" t="s">
        <v>117</v>
      </c>
      <c r="AN1" s="77"/>
      <c r="AO1" s="77"/>
      <c r="AP1" s="77"/>
      <c r="AQ1" s="77"/>
      <c r="AR1" s="77"/>
      <c r="AS1" s="77"/>
      <c r="AT1" s="77"/>
    </row>
    <row r="2" spans="1:46" s="27" customFormat="1" ht="64" x14ac:dyDescent="0.35">
      <c r="A2" s="19" t="s">
        <v>0</v>
      </c>
      <c r="B2" s="19" t="s">
        <v>1</v>
      </c>
      <c r="C2" s="20" t="s">
        <v>2</v>
      </c>
      <c r="D2" s="20" t="s">
        <v>87</v>
      </c>
      <c r="E2" s="20" t="s">
        <v>3</v>
      </c>
      <c r="F2" s="20" t="s">
        <v>4</v>
      </c>
      <c r="G2" s="20" t="s">
        <v>88</v>
      </c>
      <c r="H2" s="20" t="s">
        <v>5</v>
      </c>
      <c r="I2" s="21" t="s">
        <v>6</v>
      </c>
      <c r="J2" s="21" t="s">
        <v>7</v>
      </c>
      <c r="K2" s="21" t="s">
        <v>90</v>
      </c>
      <c r="L2" s="21" t="s">
        <v>91</v>
      </c>
      <c r="M2" s="21" t="s">
        <v>81</v>
      </c>
      <c r="N2" s="21" t="s">
        <v>92</v>
      </c>
      <c r="O2" s="21" t="s">
        <v>93</v>
      </c>
      <c r="P2" s="21" t="s">
        <v>94</v>
      </c>
      <c r="Q2" s="21" t="s">
        <v>96</v>
      </c>
      <c r="R2" s="21" t="s">
        <v>95</v>
      </c>
      <c r="S2" s="21" t="s">
        <v>98</v>
      </c>
      <c r="T2" s="21" t="s">
        <v>97</v>
      </c>
      <c r="U2" s="22" t="s">
        <v>85</v>
      </c>
      <c r="V2" s="22" t="s">
        <v>121</v>
      </c>
      <c r="W2" s="22" t="s">
        <v>103</v>
      </c>
      <c r="X2" s="22" t="s">
        <v>104</v>
      </c>
      <c r="Y2" s="22" t="s">
        <v>106</v>
      </c>
      <c r="Z2" s="22" t="s">
        <v>107</v>
      </c>
      <c r="AA2" s="29" t="s">
        <v>105</v>
      </c>
      <c r="AB2" s="21" t="s">
        <v>125</v>
      </c>
      <c r="AC2" s="21" t="s">
        <v>83</v>
      </c>
      <c r="AD2" s="21" t="s">
        <v>86</v>
      </c>
      <c r="AE2" s="21" t="s">
        <v>120</v>
      </c>
      <c r="AF2" s="21" t="s">
        <v>83</v>
      </c>
      <c r="AG2" s="21" t="s">
        <v>86</v>
      </c>
      <c r="AH2" s="21" t="s">
        <v>128</v>
      </c>
      <c r="AI2" s="21" t="s">
        <v>83</v>
      </c>
      <c r="AJ2" s="21" t="s">
        <v>86</v>
      </c>
      <c r="AK2" s="21" t="s">
        <v>108</v>
      </c>
      <c r="AL2" s="21" t="s">
        <v>109</v>
      </c>
      <c r="AM2" s="26" t="s">
        <v>110</v>
      </c>
      <c r="AN2" s="26" t="s">
        <v>111</v>
      </c>
      <c r="AO2" s="26" t="s">
        <v>112</v>
      </c>
      <c r="AP2" s="26" t="s">
        <v>113</v>
      </c>
      <c r="AQ2" s="26" t="s">
        <v>114</v>
      </c>
      <c r="AR2" s="26" t="s">
        <v>115</v>
      </c>
      <c r="AS2" s="26" t="s">
        <v>116</v>
      </c>
    </row>
    <row r="3" spans="1:46" ht="16" x14ac:dyDescent="0.4">
      <c r="A3" s="91">
        <v>1</v>
      </c>
      <c r="B3" s="79">
        <v>1386432</v>
      </c>
      <c r="C3" s="80" t="s">
        <v>8</v>
      </c>
      <c r="D3" s="47" t="s">
        <v>9</v>
      </c>
      <c r="E3" s="47" t="s">
        <v>10</v>
      </c>
      <c r="F3" s="47">
        <v>9652575034</v>
      </c>
      <c r="G3" s="17" t="s">
        <v>89</v>
      </c>
      <c r="H3" s="53">
        <v>7.03</v>
      </c>
      <c r="I3" s="3" t="s">
        <v>11</v>
      </c>
      <c r="J3" s="3" t="s">
        <v>12</v>
      </c>
      <c r="K3" s="4" t="s">
        <v>129</v>
      </c>
      <c r="L3" s="3"/>
      <c r="M3" s="2">
        <v>4</v>
      </c>
      <c r="N3" s="35" t="s">
        <v>122</v>
      </c>
      <c r="O3" s="35"/>
      <c r="P3" s="35"/>
      <c r="Q3" s="38" t="s">
        <v>118</v>
      </c>
      <c r="R3" s="35"/>
      <c r="S3" s="35"/>
      <c r="T3" s="35"/>
      <c r="U3" s="92">
        <v>46052</v>
      </c>
      <c r="V3" s="35">
        <v>45994</v>
      </c>
      <c r="W3" s="35">
        <v>45996</v>
      </c>
      <c r="X3" s="47">
        <v>15</v>
      </c>
      <c r="Y3" s="43">
        <f>AL3/1000</f>
        <v>126.68563300142246</v>
      </c>
      <c r="Z3" s="47">
        <v>9</v>
      </c>
      <c r="AA3" s="50">
        <f>(Y3/X3)</f>
        <v>8.4457088667614979</v>
      </c>
      <c r="AB3" s="47">
        <v>721.5</v>
      </c>
      <c r="AC3" s="43">
        <f>AB3*1000</f>
        <v>721500</v>
      </c>
      <c r="AD3" s="43">
        <f>AB3*1000</f>
        <v>721500</v>
      </c>
      <c r="AE3" s="47">
        <v>819.4</v>
      </c>
      <c r="AF3" s="43">
        <f>AE3*1000</f>
        <v>819400</v>
      </c>
      <c r="AG3" s="43">
        <f>AF3/H3</f>
        <v>116557.61024182076</v>
      </c>
      <c r="AH3" s="47">
        <v>890.6</v>
      </c>
      <c r="AI3" s="43">
        <f>AH3*1000</f>
        <v>890600</v>
      </c>
      <c r="AJ3" s="43">
        <f>AI3/H3</f>
        <v>126685.63300142247</v>
      </c>
      <c r="AK3" s="35"/>
      <c r="AL3" s="43">
        <f>AJ3</f>
        <v>126685.63300142247</v>
      </c>
      <c r="AM3" s="35"/>
      <c r="AN3" s="35"/>
      <c r="AO3" s="35"/>
      <c r="AP3" s="35"/>
      <c r="AQ3" s="35"/>
      <c r="AR3" s="35"/>
      <c r="AS3" s="35"/>
    </row>
    <row r="4" spans="1:46" ht="16" x14ac:dyDescent="0.4">
      <c r="A4" s="91"/>
      <c r="B4" s="79"/>
      <c r="C4" s="80"/>
      <c r="D4" s="48"/>
      <c r="E4" s="48"/>
      <c r="F4" s="48"/>
      <c r="G4" s="17" t="s">
        <v>89</v>
      </c>
      <c r="H4" s="54"/>
      <c r="I4" s="3" t="s">
        <v>11</v>
      </c>
      <c r="J4" s="3" t="s">
        <v>12</v>
      </c>
      <c r="K4" s="4" t="s">
        <v>129</v>
      </c>
      <c r="L4" s="3"/>
      <c r="M4" s="2">
        <v>2.23</v>
      </c>
      <c r="N4" s="36"/>
      <c r="O4" s="36"/>
      <c r="P4" s="36"/>
      <c r="Q4" s="39"/>
      <c r="R4" s="36"/>
      <c r="S4" s="36"/>
      <c r="T4" s="36"/>
      <c r="U4" s="93"/>
      <c r="V4" s="36"/>
      <c r="W4" s="36"/>
      <c r="X4" s="48"/>
      <c r="Y4" s="44"/>
      <c r="Z4" s="48"/>
      <c r="AA4" s="51"/>
      <c r="AB4" s="48"/>
      <c r="AC4" s="44"/>
      <c r="AD4" s="44"/>
      <c r="AE4" s="48"/>
      <c r="AF4" s="44"/>
      <c r="AG4" s="44"/>
      <c r="AH4" s="48"/>
      <c r="AI4" s="44"/>
      <c r="AJ4" s="44"/>
      <c r="AK4" s="36"/>
      <c r="AL4" s="44"/>
      <c r="AM4" s="36"/>
      <c r="AN4" s="36"/>
      <c r="AO4" s="36"/>
      <c r="AP4" s="36"/>
      <c r="AQ4" s="36"/>
      <c r="AR4" s="36"/>
      <c r="AS4" s="36"/>
    </row>
    <row r="5" spans="1:46" ht="16" x14ac:dyDescent="0.4">
      <c r="A5" s="91"/>
      <c r="B5" s="23">
        <v>1386433</v>
      </c>
      <c r="C5" s="1" t="s">
        <v>14</v>
      </c>
      <c r="D5" s="49"/>
      <c r="E5" s="49"/>
      <c r="F5" s="49"/>
      <c r="G5" s="17" t="s">
        <v>89</v>
      </c>
      <c r="H5" s="55"/>
      <c r="I5" s="3" t="s">
        <v>11</v>
      </c>
      <c r="J5" s="3" t="s">
        <v>15</v>
      </c>
      <c r="K5" s="4" t="s">
        <v>129</v>
      </c>
      <c r="L5" s="3"/>
      <c r="M5" s="2">
        <v>0.8</v>
      </c>
      <c r="N5" s="37"/>
      <c r="O5" s="37"/>
      <c r="P5" s="37"/>
      <c r="Q5" s="40"/>
      <c r="R5" s="37"/>
      <c r="S5" s="37"/>
      <c r="T5" s="37"/>
      <c r="U5" s="94"/>
      <c r="V5" s="37"/>
      <c r="W5" s="37"/>
      <c r="X5" s="49"/>
      <c r="Y5" s="45"/>
      <c r="Z5" s="49"/>
      <c r="AA5" s="52"/>
      <c r="AB5" s="49"/>
      <c r="AC5" s="45"/>
      <c r="AD5" s="45"/>
      <c r="AE5" s="49"/>
      <c r="AF5" s="45"/>
      <c r="AG5" s="45"/>
      <c r="AH5" s="49"/>
      <c r="AI5" s="45"/>
      <c r="AJ5" s="45"/>
      <c r="AK5" s="37"/>
      <c r="AL5" s="45"/>
      <c r="AM5" s="37"/>
      <c r="AN5" s="37"/>
      <c r="AO5" s="37"/>
      <c r="AP5" s="37"/>
      <c r="AQ5" s="37"/>
      <c r="AR5" s="37"/>
      <c r="AS5" s="37"/>
    </row>
    <row r="6" spans="1:46" ht="16" x14ac:dyDescent="0.4">
      <c r="A6" s="59">
        <v>2</v>
      </c>
      <c r="B6" s="56">
        <v>1386429</v>
      </c>
      <c r="C6" s="74" t="s">
        <v>16</v>
      </c>
      <c r="D6" s="47" t="s">
        <v>9</v>
      </c>
      <c r="E6" s="47" t="s">
        <v>10</v>
      </c>
      <c r="F6" s="47">
        <v>9652575034</v>
      </c>
      <c r="G6" s="17" t="s">
        <v>89</v>
      </c>
      <c r="H6" s="53">
        <v>7.86</v>
      </c>
      <c r="I6" s="3" t="s">
        <v>11</v>
      </c>
      <c r="J6" s="4" t="s">
        <v>24</v>
      </c>
      <c r="K6" s="4" t="s">
        <v>130</v>
      </c>
      <c r="L6" s="3"/>
      <c r="M6" s="2">
        <v>0.85</v>
      </c>
      <c r="N6" s="38" t="s">
        <v>122</v>
      </c>
      <c r="O6" s="38"/>
      <c r="P6" s="38"/>
      <c r="Q6" s="38" t="s">
        <v>119</v>
      </c>
      <c r="R6" s="38"/>
      <c r="S6" s="38"/>
      <c r="T6" s="38"/>
      <c r="U6" s="38">
        <v>46052</v>
      </c>
      <c r="V6" s="38">
        <v>45993</v>
      </c>
      <c r="W6" s="38">
        <v>46003</v>
      </c>
      <c r="X6" s="47">
        <v>18</v>
      </c>
      <c r="Y6" s="43">
        <f>AL6/1000</f>
        <v>157.86259541984731</v>
      </c>
      <c r="Z6" s="47">
        <v>9</v>
      </c>
      <c r="AA6" s="50">
        <f>(Y6/Z6)</f>
        <v>17.540288379983036</v>
      </c>
      <c r="AB6" s="47">
        <v>984.1</v>
      </c>
      <c r="AC6" s="43">
        <f>AB6*1000</f>
        <v>984100</v>
      </c>
      <c r="AD6" s="43">
        <v>721500</v>
      </c>
      <c r="AE6" s="47">
        <v>1133.5999999999999</v>
      </c>
      <c r="AF6" s="43">
        <f>AE6*1000</f>
        <v>1133600</v>
      </c>
      <c r="AG6" s="43">
        <f>AF6/H6</f>
        <v>144223.91857506361</v>
      </c>
      <c r="AH6" s="47">
        <v>1240.8</v>
      </c>
      <c r="AI6" s="43">
        <f>AH6*1000</f>
        <v>1240800</v>
      </c>
      <c r="AJ6" s="43">
        <f>AI6/H6</f>
        <v>157862.59541984732</v>
      </c>
      <c r="AK6" s="38"/>
      <c r="AL6" s="43">
        <f>AJ6</f>
        <v>157862.59541984732</v>
      </c>
      <c r="AM6" s="38"/>
      <c r="AN6" s="38"/>
      <c r="AO6" s="38"/>
      <c r="AP6" s="38"/>
      <c r="AQ6" s="38"/>
      <c r="AR6" s="38"/>
      <c r="AS6" s="38"/>
    </row>
    <row r="7" spans="1:46" ht="16" x14ac:dyDescent="0.4">
      <c r="A7" s="60"/>
      <c r="B7" s="57"/>
      <c r="C7" s="75"/>
      <c r="D7" s="48"/>
      <c r="E7" s="48"/>
      <c r="F7" s="48"/>
      <c r="G7" s="17" t="s">
        <v>89</v>
      </c>
      <c r="H7" s="54"/>
      <c r="I7" s="3" t="s">
        <v>13</v>
      </c>
      <c r="J7" s="4" t="s">
        <v>24</v>
      </c>
      <c r="K7" s="4" t="s">
        <v>129</v>
      </c>
      <c r="L7" s="3"/>
      <c r="M7" s="2">
        <v>0.8</v>
      </c>
      <c r="N7" s="39"/>
      <c r="O7" s="39"/>
      <c r="P7" s="39"/>
      <c r="Q7" s="39"/>
      <c r="R7" s="39"/>
      <c r="S7" s="39"/>
      <c r="T7" s="39"/>
      <c r="U7" s="39"/>
      <c r="V7" s="39"/>
      <c r="W7" s="39"/>
      <c r="X7" s="48"/>
      <c r="Y7" s="44"/>
      <c r="Z7" s="48"/>
      <c r="AA7" s="51"/>
      <c r="AB7" s="48"/>
      <c r="AC7" s="44"/>
      <c r="AD7" s="44"/>
      <c r="AE7" s="48"/>
      <c r="AF7" s="44"/>
      <c r="AG7" s="44"/>
      <c r="AH7" s="48"/>
      <c r="AI7" s="44"/>
      <c r="AJ7" s="44"/>
      <c r="AK7" s="39"/>
      <c r="AL7" s="44"/>
      <c r="AM7" s="39"/>
      <c r="AN7" s="39"/>
      <c r="AO7" s="39"/>
      <c r="AP7" s="39"/>
      <c r="AQ7" s="39"/>
      <c r="AR7" s="39"/>
      <c r="AS7" s="39"/>
    </row>
    <row r="8" spans="1:46" ht="16" x14ac:dyDescent="0.4">
      <c r="A8" s="60"/>
      <c r="B8" s="58"/>
      <c r="C8" s="76"/>
      <c r="D8" s="48"/>
      <c r="E8" s="48"/>
      <c r="F8" s="48"/>
      <c r="G8" s="17" t="s">
        <v>89</v>
      </c>
      <c r="H8" s="54"/>
      <c r="I8" s="4" t="s">
        <v>17</v>
      </c>
      <c r="J8" s="3" t="s">
        <v>18</v>
      </c>
      <c r="K8" s="4" t="s">
        <v>131</v>
      </c>
      <c r="L8" s="3"/>
      <c r="M8" s="2">
        <v>0.85</v>
      </c>
      <c r="N8" s="39"/>
      <c r="O8" s="39"/>
      <c r="P8" s="39"/>
      <c r="Q8" s="39"/>
      <c r="R8" s="39"/>
      <c r="S8" s="39"/>
      <c r="T8" s="39"/>
      <c r="U8" s="39"/>
      <c r="V8" s="39"/>
      <c r="W8" s="39"/>
      <c r="X8" s="48"/>
      <c r="Y8" s="44"/>
      <c r="Z8" s="48"/>
      <c r="AA8" s="51"/>
      <c r="AB8" s="48"/>
      <c r="AC8" s="44"/>
      <c r="AD8" s="44"/>
      <c r="AE8" s="48"/>
      <c r="AF8" s="44"/>
      <c r="AG8" s="44"/>
      <c r="AH8" s="48"/>
      <c r="AI8" s="44"/>
      <c r="AJ8" s="44"/>
      <c r="AK8" s="39"/>
      <c r="AL8" s="44"/>
      <c r="AM8" s="39"/>
      <c r="AN8" s="39"/>
      <c r="AO8" s="39"/>
      <c r="AP8" s="39"/>
      <c r="AQ8" s="39"/>
      <c r="AR8" s="39"/>
      <c r="AS8" s="39"/>
    </row>
    <row r="9" spans="1:46" ht="16" x14ac:dyDescent="0.4">
      <c r="A9" s="60"/>
      <c r="B9" s="24">
        <v>1386428</v>
      </c>
      <c r="C9" s="5" t="s">
        <v>19</v>
      </c>
      <c r="D9" s="48"/>
      <c r="E9" s="48"/>
      <c r="F9" s="48"/>
      <c r="G9" s="17" t="s">
        <v>89</v>
      </c>
      <c r="H9" s="54"/>
      <c r="I9" s="3" t="s">
        <v>82</v>
      </c>
      <c r="J9" s="3" t="s">
        <v>20</v>
      </c>
      <c r="K9" s="4" t="s">
        <v>132</v>
      </c>
      <c r="L9" s="3"/>
      <c r="M9" s="2">
        <v>0.2</v>
      </c>
      <c r="N9" s="39"/>
      <c r="O9" s="39"/>
      <c r="P9" s="39"/>
      <c r="Q9" s="39"/>
      <c r="R9" s="39"/>
      <c r="S9" s="39"/>
      <c r="T9" s="39"/>
      <c r="U9" s="39"/>
      <c r="V9" s="39"/>
      <c r="W9" s="39"/>
      <c r="X9" s="48"/>
      <c r="Y9" s="44"/>
      <c r="Z9" s="48"/>
      <c r="AA9" s="51"/>
      <c r="AB9" s="48"/>
      <c r="AC9" s="44"/>
      <c r="AD9" s="44"/>
      <c r="AE9" s="48"/>
      <c r="AF9" s="44"/>
      <c r="AG9" s="44"/>
      <c r="AH9" s="48"/>
      <c r="AI9" s="44"/>
      <c r="AJ9" s="44"/>
      <c r="AK9" s="39"/>
      <c r="AL9" s="44"/>
      <c r="AM9" s="39"/>
      <c r="AN9" s="39"/>
      <c r="AO9" s="39"/>
      <c r="AP9" s="39"/>
      <c r="AQ9" s="39"/>
      <c r="AR9" s="39"/>
      <c r="AS9" s="39"/>
    </row>
    <row r="10" spans="1:46" ht="16" x14ac:dyDescent="0.4">
      <c r="A10" s="60"/>
      <c r="B10" s="24">
        <v>1386426</v>
      </c>
      <c r="C10" s="1" t="s">
        <v>21</v>
      </c>
      <c r="D10" s="48"/>
      <c r="E10" s="48"/>
      <c r="F10" s="48"/>
      <c r="G10" s="17" t="s">
        <v>89</v>
      </c>
      <c r="H10" s="54"/>
      <c r="I10" s="3" t="s">
        <v>11</v>
      </c>
      <c r="J10" s="4" t="s">
        <v>22</v>
      </c>
      <c r="K10" s="4" t="s">
        <v>131</v>
      </c>
      <c r="L10" s="4"/>
      <c r="M10" s="2">
        <v>4.16</v>
      </c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8"/>
      <c r="Y10" s="44"/>
      <c r="Z10" s="48"/>
      <c r="AA10" s="51"/>
      <c r="AB10" s="48"/>
      <c r="AC10" s="44"/>
      <c r="AD10" s="44"/>
      <c r="AE10" s="48"/>
      <c r="AF10" s="44"/>
      <c r="AG10" s="44"/>
      <c r="AH10" s="48"/>
      <c r="AI10" s="44"/>
      <c r="AJ10" s="44"/>
      <c r="AK10" s="39"/>
      <c r="AL10" s="44"/>
      <c r="AM10" s="39"/>
      <c r="AN10" s="39"/>
      <c r="AO10" s="39"/>
      <c r="AP10" s="39"/>
      <c r="AQ10" s="39"/>
      <c r="AR10" s="39"/>
      <c r="AS10" s="39"/>
    </row>
    <row r="11" spans="1:46" ht="16" x14ac:dyDescent="0.4">
      <c r="A11" s="61"/>
      <c r="B11" s="23">
        <v>1386427</v>
      </c>
      <c r="C11" s="1" t="s">
        <v>23</v>
      </c>
      <c r="D11" s="49"/>
      <c r="E11" s="49"/>
      <c r="F11" s="49"/>
      <c r="G11" s="17" t="s">
        <v>89</v>
      </c>
      <c r="H11" s="55"/>
      <c r="I11" s="3" t="s">
        <v>11</v>
      </c>
      <c r="J11" s="4" t="s">
        <v>24</v>
      </c>
      <c r="K11" s="4" t="s">
        <v>131</v>
      </c>
      <c r="L11" s="4"/>
      <c r="M11" s="2">
        <v>1</v>
      </c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9"/>
      <c r="Y11" s="45"/>
      <c r="Z11" s="49"/>
      <c r="AA11" s="52"/>
      <c r="AB11" s="49"/>
      <c r="AC11" s="45"/>
      <c r="AD11" s="45"/>
      <c r="AE11" s="49"/>
      <c r="AF11" s="45"/>
      <c r="AG11" s="45"/>
      <c r="AH11" s="49"/>
      <c r="AI11" s="45"/>
      <c r="AJ11" s="45"/>
      <c r="AK11" s="40"/>
      <c r="AL11" s="45"/>
      <c r="AM11" s="40"/>
      <c r="AN11" s="40"/>
      <c r="AO11" s="40"/>
      <c r="AP11" s="40"/>
      <c r="AQ11" s="40"/>
      <c r="AR11" s="40"/>
      <c r="AS11" s="40"/>
    </row>
    <row r="12" spans="1:46" ht="16" x14ac:dyDescent="0.4">
      <c r="A12" s="6">
        <v>3</v>
      </c>
      <c r="B12" s="23">
        <v>1386421</v>
      </c>
      <c r="C12" s="1" t="s">
        <v>25</v>
      </c>
      <c r="D12" s="10" t="s">
        <v>26</v>
      </c>
      <c r="E12" s="10" t="s">
        <v>10</v>
      </c>
      <c r="F12" s="1">
        <v>7032325552</v>
      </c>
      <c r="G12" s="17" t="s">
        <v>89</v>
      </c>
      <c r="H12" s="2">
        <v>2</v>
      </c>
      <c r="I12" s="4" t="s">
        <v>27</v>
      </c>
      <c r="J12" s="4" t="s">
        <v>28</v>
      </c>
      <c r="K12" s="4" t="s">
        <v>133</v>
      </c>
      <c r="L12" s="4"/>
      <c r="M12" s="2">
        <v>2</v>
      </c>
      <c r="N12" s="25" t="s">
        <v>122</v>
      </c>
      <c r="O12" s="25"/>
      <c r="P12" s="25"/>
      <c r="Q12" s="28" t="s">
        <v>118</v>
      </c>
      <c r="R12" s="25"/>
      <c r="S12" s="25"/>
      <c r="T12" s="25"/>
      <c r="U12" s="9">
        <v>46052</v>
      </c>
      <c r="V12" s="9">
        <v>46011</v>
      </c>
      <c r="W12" s="9">
        <v>46016</v>
      </c>
      <c r="X12" s="10">
        <v>12</v>
      </c>
      <c r="Y12" s="10">
        <f>AL12/1000</f>
        <v>94.35</v>
      </c>
      <c r="Z12" s="10">
        <v>9</v>
      </c>
      <c r="AA12" s="30">
        <f>(Y12/Z12)</f>
        <v>10.483333333333333</v>
      </c>
      <c r="AB12" s="10">
        <v>119.3</v>
      </c>
      <c r="AC12" s="11">
        <f>AB12*1000</f>
        <v>119300</v>
      </c>
      <c r="AD12" s="11">
        <f>AB12*1000</f>
        <v>119300</v>
      </c>
      <c r="AE12" s="10">
        <v>143.9</v>
      </c>
      <c r="AF12" s="11">
        <f>AE12*1000</f>
        <v>143900</v>
      </c>
      <c r="AG12" s="11">
        <f>AF12/H12</f>
        <v>71950</v>
      </c>
      <c r="AH12" s="10">
        <v>188.7</v>
      </c>
      <c r="AI12" s="11">
        <f>AH12*1000</f>
        <v>188700</v>
      </c>
      <c r="AJ12" s="11">
        <f>AI12/H12</f>
        <v>94350</v>
      </c>
      <c r="AK12" s="11"/>
      <c r="AL12" s="11">
        <f>AJ12</f>
        <v>94350</v>
      </c>
      <c r="AM12" s="11"/>
      <c r="AN12" s="11"/>
      <c r="AO12" s="11"/>
      <c r="AP12" s="11"/>
      <c r="AQ12" s="11"/>
      <c r="AR12" s="11"/>
      <c r="AS12" s="11"/>
    </row>
    <row r="13" spans="1:46" ht="16" x14ac:dyDescent="0.4">
      <c r="A13" s="6">
        <v>4</v>
      </c>
      <c r="B13" s="23">
        <v>1386422</v>
      </c>
      <c r="C13" s="1" t="s">
        <v>29</v>
      </c>
      <c r="D13" s="10" t="s">
        <v>26</v>
      </c>
      <c r="E13" s="10" t="s">
        <v>10</v>
      </c>
      <c r="F13" s="1">
        <v>7032325552</v>
      </c>
      <c r="G13" s="17" t="s">
        <v>89</v>
      </c>
      <c r="H13" s="2">
        <v>4.8499999999999996</v>
      </c>
      <c r="I13" s="4" t="s">
        <v>27</v>
      </c>
      <c r="J13" s="4" t="s">
        <v>30</v>
      </c>
      <c r="K13" s="4" t="s">
        <v>129</v>
      </c>
      <c r="L13" s="4"/>
      <c r="M13" s="2">
        <v>4.8499999999999996</v>
      </c>
      <c r="N13" s="25" t="s">
        <v>122</v>
      </c>
      <c r="O13" s="25"/>
      <c r="P13" s="25"/>
      <c r="Q13" s="28" t="s">
        <v>118</v>
      </c>
      <c r="R13" s="25"/>
      <c r="S13" s="25"/>
      <c r="T13" s="25"/>
      <c r="U13" s="9">
        <v>46052</v>
      </c>
      <c r="V13" s="9">
        <v>45997</v>
      </c>
      <c r="W13" s="9">
        <v>46000</v>
      </c>
      <c r="X13" s="10">
        <v>15</v>
      </c>
      <c r="Y13" s="11">
        <f>AL13/1000</f>
        <v>125.44329896907217</v>
      </c>
      <c r="Z13" s="10">
        <v>9</v>
      </c>
      <c r="AA13" s="30">
        <f>(Y13/Z13)</f>
        <v>13.938144329896907</v>
      </c>
      <c r="AB13" s="10">
        <v>399.5</v>
      </c>
      <c r="AC13" s="11">
        <f>AB13*1000</f>
        <v>399500</v>
      </c>
      <c r="AD13" s="11">
        <f>AB13*1000</f>
        <v>399500</v>
      </c>
      <c r="AE13" s="10">
        <v>517.1</v>
      </c>
      <c r="AF13" s="11">
        <f>AE13*1000</f>
        <v>517100</v>
      </c>
      <c r="AG13" s="11">
        <f>AF13/H13</f>
        <v>106618.55670103093</v>
      </c>
      <c r="AH13" s="10">
        <v>608.4</v>
      </c>
      <c r="AI13" s="11">
        <f>AH13*1000</f>
        <v>608400</v>
      </c>
      <c r="AJ13" s="11">
        <f>AI13/H13</f>
        <v>125443.29896907217</v>
      </c>
      <c r="AK13" s="11"/>
      <c r="AL13" s="11">
        <f>AJ13</f>
        <v>125443.29896907217</v>
      </c>
      <c r="AM13" s="11"/>
      <c r="AN13" s="11"/>
      <c r="AO13" s="11"/>
      <c r="AP13" s="11"/>
      <c r="AQ13" s="11"/>
      <c r="AR13" s="11"/>
      <c r="AS13" s="11"/>
    </row>
    <row r="14" spans="1:46" ht="16" x14ac:dyDescent="0.4">
      <c r="A14" s="59">
        <v>5</v>
      </c>
      <c r="B14" s="23">
        <v>1386415</v>
      </c>
      <c r="C14" s="3" t="s">
        <v>31</v>
      </c>
      <c r="D14" s="72" t="s">
        <v>32</v>
      </c>
      <c r="E14" s="72" t="s">
        <v>10</v>
      </c>
      <c r="F14" s="3">
        <v>9502290972</v>
      </c>
      <c r="G14" s="17" t="s">
        <v>89</v>
      </c>
      <c r="H14" s="53">
        <v>4.53</v>
      </c>
      <c r="I14" s="4" t="s">
        <v>27</v>
      </c>
      <c r="J14" s="4" t="s">
        <v>33</v>
      </c>
      <c r="K14" s="4" t="s">
        <v>131</v>
      </c>
      <c r="L14" s="4"/>
      <c r="M14" s="2">
        <v>1.38</v>
      </c>
      <c r="N14" s="32" t="s">
        <v>122</v>
      </c>
      <c r="O14" s="32"/>
      <c r="P14" s="32"/>
      <c r="Q14" s="85" t="s">
        <v>119</v>
      </c>
      <c r="R14" s="32"/>
      <c r="S14" s="32"/>
      <c r="T14" s="32"/>
      <c r="U14" s="9">
        <v>46052</v>
      </c>
      <c r="V14" s="32">
        <v>45998</v>
      </c>
      <c r="W14" s="32">
        <v>45997</v>
      </c>
      <c r="X14" s="72">
        <v>12</v>
      </c>
      <c r="Y14" s="41">
        <f>AL14/1000</f>
        <v>104.67991169977924</v>
      </c>
      <c r="Z14" s="72">
        <v>9</v>
      </c>
      <c r="AA14" s="96">
        <f>(Y14/Z14)</f>
        <v>11.631101299975471</v>
      </c>
      <c r="AB14" s="72">
        <v>383.4</v>
      </c>
      <c r="AC14" s="41">
        <f>AB14*1000</f>
        <v>383400</v>
      </c>
      <c r="AD14" s="41">
        <f>AB14*1000</f>
        <v>383400</v>
      </c>
      <c r="AE14" s="72">
        <v>403.8</v>
      </c>
      <c r="AF14" s="41">
        <f>AE14*1000</f>
        <v>403800</v>
      </c>
      <c r="AG14" s="41">
        <f>AF14/H14</f>
        <v>89139.07284768211</v>
      </c>
      <c r="AH14" s="72">
        <v>474.2</v>
      </c>
      <c r="AI14" s="41">
        <f>AH14*1000</f>
        <v>474200</v>
      </c>
      <c r="AJ14" s="41">
        <f>AI14/H14</f>
        <v>104679.91169977924</v>
      </c>
      <c r="AK14" s="32"/>
      <c r="AL14" s="41">
        <f>AJ14</f>
        <v>104679.91169977924</v>
      </c>
      <c r="AM14" s="32"/>
      <c r="AN14" s="32"/>
      <c r="AO14" s="32"/>
      <c r="AP14" s="32"/>
      <c r="AQ14" s="32"/>
      <c r="AR14" s="32"/>
      <c r="AS14" s="32"/>
    </row>
    <row r="15" spans="1:46" ht="16" x14ac:dyDescent="0.4">
      <c r="A15" s="61"/>
      <c r="B15" s="23">
        <v>1386414</v>
      </c>
      <c r="C15" s="3" t="s">
        <v>34</v>
      </c>
      <c r="D15" s="73"/>
      <c r="E15" s="73"/>
      <c r="F15" s="3">
        <v>9502290972</v>
      </c>
      <c r="G15" s="17" t="s">
        <v>89</v>
      </c>
      <c r="H15" s="55"/>
      <c r="I15" s="4" t="s">
        <v>11</v>
      </c>
      <c r="J15" s="4" t="s">
        <v>33</v>
      </c>
      <c r="K15" s="4" t="s">
        <v>130</v>
      </c>
      <c r="L15" s="4"/>
      <c r="M15" s="2">
        <v>3.15</v>
      </c>
      <c r="N15" s="33"/>
      <c r="O15" s="33"/>
      <c r="P15" s="33"/>
      <c r="Q15" s="86"/>
      <c r="R15" s="33"/>
      <c r="S15" s="33"/>
      <c r="T15" s="33"/>
      <c r="U15" s="9">
        <v>46052</v>
      </c>
      <c r="V15" s="33"/>
      <c r="W15" s="33"/>
      <c r="X15" s="73"/>
      <c r="Y15" s="42"/>
      <c r="Z15" s="73"/>
      <c r="AA15" s="97"/>
      <c r="AB15" s="73"/>
      <c r="AC15" s="42"/>
      <c r="AD15" s="42"/>
      <c r="AE15" s="73"/>
      <c r="AF15" s="42"/>
      <c r="AG15" s="42"/>
      <c r="AH15" s="73"/>
      <c r="AI15" s="42"/>
      <c r="AJ15" s="42"/>
      <c r="AK15" s="33"/>
      <c r="AL15" s="42"/>
      <c r="AM15" s="33"/>
      <c r="AN15" s="33"/>
      <c r="AO15" s="33"/>
      <c r="AP15" s="33"/>
      <c r="AQ15" s="33"/>
      <c r="AR15" s="33"/>
      <c r="AS15" s="33"/>
    </row>
    <row r="16" spans="1:46" ht="16" x14ac:dyDescent="0.4">
      <c r="A16" s="59">
        <v>6</v>
      </c>
      <c r="B16" s="71">
        <v>1386412</v>
      </c>
      <c r="C16" s="68" t="s">
        <v>35</v>
      </c>
      <c r="D16" s="72" t="s">
        <v>26</v>
      </c>
      <c r="E16" s="72" t="s">
        <v>10</v>
      </c>
      <c r="F16" s="68">
        <v>9550188742</v>
      </c>
      <c r="G16" s="17" t="s">
        <v>89</v>
      </c>
      <c r="H16" s="53">
        <v>2.5</v>
      </c>
      <c r="I16" s="4" t="s">
        <v>27</v>
      </c>
      <c r="J16" s="4" t="s">
        <v>33</v>
      </c>
      <c r="K16" s="4" t="s">
        <v>132</v>
      </c>
      <c r="L16" s="4"/>
      <c r="M16" s="2">
        <v>2</v>
      </c>
      <c r="N16" s="32" t="s">
        <v>122</v>
      </c>
      <c r="O16" s="32"/>
      <c r="P16" s="32"/>
      <c r="Q16" s="85" t="s">
        <v>118</v>
      </c>
      <c r="R16" s="32"/>
      <c r="S16" s="32"/>
      <c r="T16" s="32"/>
      <c r="U16" s="62">
        <v>46052</v>
      </c>
      <c r="V16" s="32">
        <v>45997</v>
      </c>
      <c r="W16" s="32">
        <v>46000</v>
      </c>
      <c r="X16" s="72">
        <v>10</v>
      </c>
      <c r="Y16" s="41">
        <f>AL16/1000</f>
        <v>100.84</v>
      </c>
      <c r="Z16" s="72">
        <v>9</v>
      </c>
      <c r="AA16" s="96">
        <f>(Y16/Z16)</f>
        <v>11.204444444444444</v>
      </c>
      <c r="AB16" s="72">
        <v>163.69999999999999</v>
      </c>
      <c r="AC16" s="41">
        <f>AB16*1000</f>
        <v>163700</v>
      </c>
      <c r="AD16" s="41">
        <f>AB16*1000</f>
        <v>163700</v>
      </c>
      <c r="AE16" s="72">
        <v>206.1</v>
      </c>
      <c r="AF16" s="41">
        <f>AE16*1000</f>
        <v>206100</v>
      </c>
      <c r="AG16" s="41">
        <f>AF16/H16</f>
        <v>82440</v>
      </c>
      <c r="AH16" s="72">
        <v>252.1</v>
      </c>
      <c r="AI16" s="41">
        <f>AH16*1000</f>
        <v>252100</v>
      </c>
      <c r="AJ16" s="41">
        <f>AI16/H16</f>
        <v>100840</v>
      </c>
      <c r="AK16" s="32"/>
      <c r="AL16" s="41">
        <f>AJ16</f>
        <v>100840</v>
      </c>
      <c r="AM16" s="32"/>
      <c r="AN16" s="32"/>
      <c r="AO16" s="32"/>
      <c r="AP16" s="32"/>
      <c r="AQ16" s="32"/>
      <c r="AR16" s="32"/>
      <c r="AS16" s="32"/>
    </row>
    <row r="17" spans="1:45" ht="16" x14ac:dyDescent="0.4">
      <c r="A17" s="60"/>
      <c r="B17" s="66"/>
      <c r="C17" s="69"/>
      <c r="D17" s="81"/>
      <c r="E17" s="81"/>
      <c r="F17" s="69"/>
      <c r="G17" s="17" t="s">
        <v>89</v>
      </c>
      <c r="H17" s="54"/>
      <c r="I17" s="4" t="s">
        <v>126</v>
      </c>
      <c r="J17" s="4" t="s">
        <v>33</v>
      </c>
      <c r="K17" s="4" t="s">
        <v>129</v>
      </c>
      <c r="L17" s="4"/>
      <c r="M17" s="2">
        <v>0.25</v>
      </c>
      <c r="N17" s="34"/>
      <c r="O17" s="34"/>
      <c r="P17" s="34"/>
      <c r="Q17" s="87"/>
      <c r="R17" s="34"/>
      <c r="S17" s="34"/>
      <c r="T17" s="34"/>
      <c r="U17" s="63"/>
      <c r="V17" s="34"/>
      <c r="W17" s="34"/>
      <c r="X17" s="81"/>
      <c r="Y17" s="46"/>
      <c r="Z17" s="81"/>
      <c r="AA17" s="98"/>
      <c r="AB17" s="81"/>
      <c r="AC17" s="46"/>
      <c r="AD17" s="46"/>
      <c r="AE17" s="81"/>
      <c r="AF17" s="46"/>
      <c r="AG17" s="46"/>
      <c r="AH17" s="81"/>
      <c r="AI17" s="46"/>
      <c r="AJ17" s="46"/>
      <c r="AK17" s="34"/>
      <c r="AL17" s="46"/>
      <c r="AM17" s="34"/>
      <c r="AN17" s="34"/>
      <c r="AO17" s="34"/>
      <c r="AP17" s="34"/>
      <c r="AQ17" s="34"/>
      <c r="AR17" s="34"/>
      <c r="AS17" s="34"/>
    </row>
    <row r="18" spans="1:45" ht="32" customHeight="1" x14ac:dyDescent="0.4">
      <c r="A18" s="61"/>
      <c r="B18" s="23">
        <v>1386413</v>
      </c>
      <c r="C18" s="3" t="s">
        <v>36</v>
      </c>
      <c r="D18" s="73"/>
      <c r="E18" s="73"/>
      <c r="F18" s="3">
        <v>9550188742</v>
      </c>
      <c r="G18" s="17" t="s">
        <v>89</v>
      </c>
      <c r="H18" s="55"/>
      <c r="I18" s="4" t="s">
        <v>11</v>
      </c>
      <c r="J18" s="4" t="s">
        <v>33</v>
      </c>
      <c r="K18" s="4" t="s">
        <v>132</v>
      </c>
      <c r="L18" s="4"/>
      <c r="M18" s="2">
        <v>0.25</v>
      </c>
      <c r="N18" s="33"/>
      <c r="O18" s="33"/>
      <c r="P18" s="33"/>
      <c r="Q18" s="86"/>
      <c r="R18" s="33"/>
      <c r="S18" s="33"/>
      <c r="T18" s="33"/>
      <c r="U18" s="9">
        <v>46052</v>
      </c>
      <c r="V18" s="33"/>
      <c r="W18" s="33"/>
      <c r="X18" s="73"/>
      <c r="Y18" s="42"/>
      <c r="Z18" s="73"/>
      <c r="AA18" s="97"/>
      <c r="AB18" s="73"/>
      <c r="AC18" s="42"/>
      <c r="AD18" s="42"/>
      <c r="AE18" s="73"/>
      <c r="AF18" s="42"/>
      <c r="AG18" s="42"/>
      <c r="AH18" s="73"/>
      <c r="AI18" s="42"/>
      <c r="AJ18" s="42"/>
      <c r="AK18" s="33"/>
      <c r="AL18" s="42"/>
      <c r="AM18" s="33"/>
      <c r="AN18" s="33"/>
      <c r="AO18" s="33"/>
      <c r="AP18" s="33"/>
      <c r="AQ18" s="33"/>
      <c r="AR18" s="33"/>
      <c r="AS18" s="33"/>
    </row>
    <row r="19" spans="1:45" ht="16" x14ac:dyDescent="0.4">
      <c r="A19" s="59">
        <v>7</v>
      </c>
      <c r="B19" s="23">
        <v>1386420</v>
      </c>
      <c r="C19" s="7" t="s">
        <v>37</v>
      </c>
      <c r="D19" s="47" t="s">
        <v>9</v>
      </c>
      <c r="E19" s="72" t="s">
        <v>10</v>
      </c>
      <c r="F19" s="68">
        <v>9676750591</v>
      </c>
      <c r="G19" s="17" t="s">
        <v>89</v>
      </c>
      <c r="H19" s="53">
        <v>3.65</v>
      </c>
      <c r="I19" s="4" t="s">
        <v>11</v>
      </c>
      <c r="J19" s="4" t="s">
        <v>38</v>
      </c>
      <c r="K19" s="4" t="s">
        <v>129</v>
      </c>
      <c r="L19" s="4"/>
      <c r="M19" s="2">
        <v>2</v>
      </c>
      <c r="N19" s="32" t="s">
        <v>122</v>
      </c>
      <c r="O19" s="32"/>
      <c r="P19" s="32"/>
      <c r="Q19" s="85" t="s">
        <v>118</v>
      </c>
      <c r="R19" s="32"/>
      <c r="S19" s="32"/>
      <c r="T19" s="32"/>
      <c r="U19" s="62">
        <v>46052</v>
      </c>
      <c r="V19" s="32">
        <v>45999</v>
      </c>
      <c r="W19" s="32">
        <v>46003</v>
      </c>
      <c r="X19" s="72">
        <v>12</v>
      </c>
      <c r="Y19" s="41">
        <f>AL19/1000</f>
        <v>126.21917808219177</v>
      </c>
      <c r="Z19" s="72">
        <v>9</v>
      </c>
      <c r="AA19" s="50">
        <f>(Y19/X19)</f>
        <v>10.518264840182647</v>
      </c>
      <c r="AB19" s="72">
        <v>366.2</v>
      </c>
      <c r="AC19" s="41">
        <f>AB19*1000</f>
        <v>366200</v>
      </c>
      <c r="AD19" s="41">
        <f>AB19*1000</f>
        <v>366200</v>
      </c>
      <c r="AE19" s="72">
        <v>410.4</v>
      </c>
      <c r="AF19" s="41">
        <f>AE19*1000</f>
        <v>410400</v>
      </c>
      <c r="AG19" s="41">
        <f>AF19/H19</f>
        <v>112438.35616438357</v>
      </c>
      <c r="AH19" s="72">
        <v>460.7</v>
      </c>
      <c r="AI19" s="41">
        <f>AH19*1000</f>
        <v>460700</v>
      </c>
      <c r="AJ19" s="41">
        <f>AI19/H19</f>
        <v>126219.17808219178</v>
      </c>
      <c r="AK19" s="32"/>
      <c r="AL19" s="41">
        <f>AJ19</f>
        <v>126219.17808219178</v>
      </c>
      <c r="AM19" s="32"/>
      <c r="AN19" s="32"/>
      <c r="AO19" s="32"/>
      <c r="AP19" s="32"/>
      <c r="AQ19" s="32"/>
      <c r="AR19" s="32"/>
      <c r="AS19" s="32"/>
    </row>
    <row r="20" spans="1:45" ht="16" x14ac:dyDescent="0.4">
      <c r="A20" s="60"/>
      <c r="B20" s="66">
        <v>1386419</v>
      </c>
      <c r="C20" s="68" t="s">
        <v>39</v>
      </c>
      <c r="D20" s="48"/>
      <c r="E20" s="81"/>
      <c r="F20" s="82"/>
      <c r="G20" s="17" t="s">
        <v>89</v>
      </c>
      <c r="H20" s="54"/>
      <c r="I20" s="4" t="s">
        <v>17</v>
      </c>
      <c r="J20" s="4" t="s">
        <v>40</v>
      </c>
      <c r="K20" s="4" t="s">
        <v>131</v>
      </c>
      <c r="L20" s="4"/>
      <c r="M20" s="2">
        <v>0.82</v>
      </c>
      <c r="N20" s="34"/>
      <c r="O20" s="34"/>
      <c r="P20" s="34"/>
      <c r="Q20" s="87"/>
      <c r="R20" s="34"/>
      <c r="S20" s="34"/>
      <c r="T20" s="34"/>
      <c r="U20" s="95"/>
      <c r="V20" s="34"/>
      <c r="W20" s="34"/>
      <c r="X20" s="81"/>
      <c r="Y20" s="46"/>
      <c r="Z20" s="81"/>
      <c r="AA20" s="51"/>
      <c r="AB20" s="81"/>
      <c r="AC20" s="46"/>
      <c r="AD20" s="46"/>
      <c r="AE20" s="81"/>
      <c r="AF20" s="46"/>
      <c r="AG20" s="46"/>
      <c r="AH20" s="81"/>
      <c r="AI20" s="46"/>
      <c r="AJ20" s="46"/>
      <c r="AK20" s="34"/>
      <c r="AL20" s="46"/>
      <c r="AM20" s="34"/>
      <c r="AN20" s="34"/>
      <c r="AO20" s="34"/>
      <c r="AP20" s="34"/>
      <c r="AQ20" s="34"/>
      <c r="AR20" s="34"/>
      <c r="AS20" s="34"/>
    </row>
    <row r="21" spans="1:45" ht="16" x14ac:dyDescent="0.4">
      <c r="A21" s="61"/>
      <c r="B21" s="67"/>
      <c r="C21" s="69"/>
      <c r="D21" s="49"/>
      <c r="E21" s="73"/>
      <c r="F21" s="69"/>
      <c r="G21" s="17" t="s">
        <v>89</v>
      </c>
      <c r="H21" s="55"/>
      <c r="I21" s="4" t="s">
        <v>41</v>
      </c>
      <c r="J21" s="4" t="s">
        <v>40</v>
      </c>
      <c r="K21" s="4" t="s">
        <v>129</v>
      </c>
      <c r="L21" s="4"/>
      <c r="M21" s="2">
        <v>0.83</v>
      </c>
      <c r="N21" s="33"/>
      <c r="O21" s="33"/>
      <c r="P21" s="33"/>
      <c r="Q21" s="86"/>
      <c r="R21" s="33"/>
      <c r="S21" s="33"/>
      <c r="T21" s="33"/>
      <c r="U21" s="63"/>
      <c r="V21" s="33"/>
      <c r="W21" s="33"/>
      <c r="X21" s="73"/>
      <c r="Y21" s="42"/>
      <c r="Z21" s="73"/>
      <c r="AA21" s="52"/>
      <c r="AB21" s="73"/>
      <c r="AC21" s="42"/>
      <c r="AD21" s="42"/>
      <c r="AE21" s="73"/>
      <c r="AF21" s="42"/>
      <c r="AG21" s="42"/>
      <c r="AH21" s="73"/>
      <c r="AI21" s="42"/>
      <c r="AJ21" s="42"/>
      <c r="AK21" s="33"/>
      <c r="AL21" s="42"/>
      <c r="AM21" s="33"/>
      <c r="AN21" s="33"/>
      <c r="AO21" s="33"/>
      <c r="AP21" s="33"/>
      <c r="AQ21" s="33"/>
      <c r="AR21" s="33"/>
      <c r="AS21" s="33"/>
    </row>
    <row r="22" spans="1:45" ht="16" x14ac:dyDescent="0.4">
      <c r="A22" s="59">
        <v>8</v>
      </c>
      <c r="B22" s="23">
        <v>1386431</v>
      </c>
      <c r="C22" s="1" t="s">
        <v>42</v>
      </c>
      <c r="D22" s="72" t="s">
        <v>26</v>
      </c>
      <c r="E22" s="72" t="s">
        <v>10</v>
      </c>
      <c r="F22" s="74">
        <v>9948671583</v>
      </c>
      <c r="G22" s="17" t="s">
        <v>89</v>
      </c>
      <c r="H22" s="53">
        <v>2.95</v>
      </c>
      <c r="I22" s="3" t="s">
        <v>27</v>
      </c>
      <c r="J22" s="3" t="s">
        <v>43</v>
      </c>
      <c r="K22" s="4" t="s">
        <v>132</v>
      </c>
      <c r="L22" s="3"/>
      <c r="M22" s="2">
        <v>1.95</v>
      </c>
      <c r="N22" s="32" t="s">
        <v>122</v>
      </c>
      <c r="O22" s="32"/>
      <c r="P22" s="32"/>
      <c r="Q22" s="85" t="s">
        <v>118</v>
      </c>
      <c r="R22" s="32"/>
      <c r="S22" s="32"/>
      <c r="T22" s="32"/>
      <c r="U22" s="62">
        <v>46052</v>
      </c>
      <c r="V22" s="32">
        <v>45998</v>
      </c>
      <c r="W22" s="32">
        <v>46007</v>
      </c>
      <c r="X22" s="72">
        <v>6</v>
      </c>
      <c r="Y22" s="41">
        <f>AL22/1000</f>
        <v>40.677966101694913</v>
      </c>
      <c r="Z22" s="72">
        <v>9</v>
      </c>
      <c r="AA22" s="96">
        <f>(Y22/Z22)</f>
        <v>4.5197740112994351</v>
      </c>
      <c r="AB22" s="72">
        <v>57.3</v>
      </c>
      <c r="AC22" s="41">
        <f>AB22*1000</f>
        <v>57300</v>
      </c>
      <c r="AD22" s="41">
        <f>AB22*1000</f>
        <v>57300</v>
      </c>
      <c r="AE22" s="72">
        <v>79.7</v>
      </c>
      <c r="AF22" s="41">
        <f>AE22*1000</f>
        <v>79700</v>
      </c>
      <c r="AG22" s="41">
        <f>AF22/H22</f>
        <v>27016.949152542373</v>
      </c>
      <c r="AH22" s="72">
        <v>120</v>
      </c>
      <c r="AI22" s="41">
        <f>AH22*1000</f>
        <v>120000</v>
      </c>
      <c r="AJ22" s="41">
        <f>AI22/H22</f>
        <v>40677.96610169491</v>
      </c>
      <c r="AK22" s="32"/>
      <c r="AL22" s="41">
        <f>AJ22</f>
        <v>40677.96610169491</v>
      </c>
      <c r="AM22" s="32"/>
      <c r="AN22" s="32"/>
      <c r="AO22" s="32"/>
      <c r="AP22" s="32"/>
      <c r="AQ22" s="32"/>
      <c r="AR22" s="32"/>
      <c r="AS22" s="32"/>
    </row>
    <row r="23" spans="1:45" ht="16" x14ac:dyDescent="0.4">
      <c r="A23" s="61"/>
      <c r="B23" s="23">
        <v>1386430</v>
      </c>
      <c r="C23" s="1" t="s">
        <v>44</v>
      </c>
      <c r="D23" s="73"/>
      <c r="E23" s="73"/>
      <c r="F23" s="76"/>
      <c r="G23" s="17" t="s">
        <v>89</v>
      </c>
      <c r="H23" s="55"/>
      <c r="I23" s="3" t="s">
        <v>27</v>
      </c>
      <c r="J23" s="3" t="s">
        <v>43</v>
      </c>
      <c r="K23" s="4" t="s">
        <v>132</v>
      </c>
      <c r="L23" s="3"/>
      <c r="M23" s="2">
        <v>1</v>
      </c>
      <c r="N23" s="33"/>
      <c r="O23" s="33"/>
      <c r="P23" s="33"/>
      <c r="Q23" s="86"/>
      <c r="R23" s="33"/>
      <c r="S23" s="33"/>
      <c r="T23" s="33"/>
      <c r="U23" s="63"/>
      <c r="V23" s="33"/>
      <c r="W23" s="33"/>
      <c r="X23" s="73"/>
      <c r="Y23" s="42"/>
      <c r="Z23" s="73"/>
      <c r="AA23" s="97"/>
      <c r="AB23" s="73"/>
      <c r="AC23" s="42"/>
      <c r="AD23" s="42"/>
      <c r="AE23" s="73"/>
      <c r="AF23" s="42"/>
      <c r="AG23" s="42"/>
      <c r="AH23" s="73"/>
      <c r="AI23" s="42"/>
      <c r="AJ23" s="42"/>
      <c r="AK23" s="33"/>
      <c r="AL23" s="42"/>
      <c r="AM23" s="33"/>
      <c r="AN23" s="33"/>
      <c r="AO23" s="33"/>
      <c r="AP23" s="33"/>
      <c r="AQ23" s="33"/>
      <c r="AR23" s="33"/>
      <c r="AS23" s="33"/>
    </row>
    <row r="24" spans="1:45" ht="16" x14ac:dyDescent="0.4">
      <c r="A24" s="59">
        <v>9</v>
      </c>
      <c r="B24" s="23">
        <v>1386425</v>
      </c>
      <c r="C24" s="3" t="s">
        <v>45</v>
      </c>
      <c r="D24" s="10" t="s">
        <v>26</v>
      </c>
      <c r="E24" s="10" t="s">
        <v>10</v>
      </c>
      <c r="F24" s="1">
        <v>8143040026</v>
      </c>
      <c r="G24" s="17" t="s">
        <v>89</v>
      </c>
      <c r="H24" s="53">
        <v>4</v>
      </c>
      <c r="I24" s="3" t="s">
        <v>27</v>
      </c>
      <c r="J24" s="3" t="s">
        <v>28</v>
      </c>
      <c r="K24" s="4" t="s">
        <v>130</v>
      </c>
      <c r="L24" s="3"/>
      <c r="M24" s="2">
        <v>2</v>
      </c>
      <c r="N24" s="32" t="s">
        <v>122</v>
      </c>
      <c r="O24" s="32"/>
      <c r="P24" s="32"/>
      <c r="Q24" s="85" t="s">
        <v>118</v>
      </c>
      <c r="R24" s="32"/>
      <c r="S24" s="32"/>
      <c r="T24" s="32"/>
      <c r="U24" s="9">
        <v>46052</v>
      </c>
      <c r="V24" s="32">
        <v>46000</v>
      </c>
      <c r="W24" s="32">
        <v>46010</v>
      </c>
      <c r="X24" s="72">
        <v>8</v>
      </c>
      <c r="Y24" s="41">
        <f>AL24/1000</f>
        <v>49.55</v>
      </c>
      <c r="Z24" s="72">
        <v>9</v>
      </c>
      <c r="AA24" s="96">
        <f>(Y24/Z24)</f>
        <v>5.5055555555555555</v>
      </c>
      <c r="AB24" s="72">
        <v>165.1</v>
      </c>
      <c r="AC24" s="41">
        <f>AB24*1000</f>
        <v>165100</v>
      </c>
      <c r="AD24" s="41">
        <f>AB24*1000</f>
        <v>165100</v>
      </c>
      <c r="AE24" s="72">
        <v>186.2</v>
      </c>
      <c r="AF24" s="41">
        <f>AE24*1000</f>
        <v>186200</v>
      </c>
      <c r="AG24" s="41">
        <f>AF24/H24</f>
        <v>46550</v>
      </c>
      <c r="AH24" s="72">
        <v>198.2</v>
      </c>
      <c r="AI24" s="41">
        <f>AH24*1000</f>
        <v>198200</v>
      </c>
      <c r="AJ24" s="41">
        <f>AI24/H24</f>
        <v>49550</v>
      </c>
      <c r="AK24" s="32"/>
      <c r="AL24" s="41">
        <f>AJ24</f>
        <v>49550</v>
      </c>
      <c r="AM24" s="32"/>
      <c r="AN24" s="32"/>
      <c r="AO24" s="32"/>
      <c r="AP24" s="32"/>
      <c r="AQ24" s="32"/>
      <c r="AR24" s="32"/>
      <c r="AS24" s="32"/>
    </row>
    <row r="25" spans="1:45" ht="16" x14ac:dyDescent="0.4">
      <c r="A25" s="61"/>
      <c r="B25" s="23">
        <v>1386424</v>
      </c>
      <c r="C25" s="3" t="s">
        <v>46</v>
      </c>
      <c r="D25" s="10" t="s">
        <v>26</v>
      </c>
      <c r="E25" s="10" t="s">
        <v>10</v>
      </c>
      <c r="F25" s="1">
        <v>8143040026</v>
      </c>
      <c r="G25" s="17" t="s">
        <v>89</v>
      </c>
      <c r="H25" s="55"/>
      <c r="I25" s="3" t="s">
        <v>27</v>
      </c>
      <c r="J25" s="3" t="s">
        <v>28</v>
      </c>
      <c r="K25" s="4" t="s">
        <v>130</v>
      </c>
      <c r="L25" s="3"/>
      <c r="M25" s="2">
        <v>2</v>
      </c>
      <c r="N25" s="33"/>
      <c r="O25" s="33"/>
      <c r="P25" s="33"/>
      <c r="Q25" s="86"/>
      <c r="R25" s="33"/>
      <c r="S25" s="33"/>
      <c r="T25" s="33"/>
      <c r="U25" s="9">
        <v>46052</v>
      </c>
      <c r="V25" s="33"/>
      <c r="W25" s="33"/>
      <c r="X25" s="73"/>
      <c r="Y25" s="42"/>
      <c r="Z25" s="73"/>
      <c r="AA25" s="97"/>
      <c r="AB25" s="73"/>
      <c r="AC25" s="42"/>
      <c r="AD25" s="42"/>
      <c r="AE25" s="73"/>
      <c r="AF25" s="42"/>
      <c r="AG25" s="42"/>
      <c r="AH25" s="73"/>
      <c r="AI25" s="42"/>
      <c r="AJ25" s="42"/>
      <c r="AK25" s="33"/>
      <c r="AL25" s="42"/>
      <c r="AM25" s="33"/>
      <c r="AN25" s="33"/>
      <c r="AO25" s="33"/>
      <c r="AP25" s="33"/>
      <c r="AQ25" s="33"/>
      <c r="AR25" s="33"/>
      <c r="AS25" s="33"/>
    </row>
    <row r="26" spans="1:45" ht="16" x14ac:dyDescent="0.4">
      <c r="A26" s="6">
        <v>10</v>
      </c>
      <c r="B26" s="23">
        <v>1386437</v>
      </c>
      <c r="C26" s="3" t="s">
        <v>47</v>
      </c>
      <c r="D26" s="10" t="s">
        <v>32</v>
      </c>
      <c r="E26" s="10" t="s">
        <v>10</v>
      </c>
      <c r="F26" s="3">
        <v>9494876548</v>
      </c>
      <c r="G26" s="17" t="s">
        <v>89</v>
      </c>
      <c r="H26" s="2">
        <v>2.73</v>
      </c>
      <c r="I26" s="4" t="s">
        <v>11</v>
      </c>
      <c r="J26" s="4" t="s">
        <v>43</v>
      </c>
      <c r="K26" s="4" t="s">
        <v>131</v>
      </c>
      <c r="L26" s="4"/>
      <c r="M26" s="2">
        <v>2.73</v>
      </c>
      <c r="N26" s="25" t="s">
        <v>122</v>
      </c>
      <c r="O26" s="25"/>
      <c r="P26" s="25"/>
      <c r="Q26" s="28" t="s">
        <v>119</v>
      </c>
      <c r="R26" s="25"/>
      <c r="S26" s="25"/>
      <c r="T26" s="25"/>
      <c r="U26" s="9">
        <v>46052</v>
      </c>
      <c r="V26" s="9">
        <v>46004</v>
      </c>
      <c r="W26" s="9">
        <v>46008</v>
      </c>
      <c r="X26" s="10">
        <v>10</v>
      </c>
      <c r="Y26" s="11">
        <f>AL26/1000</f>
        <v>52.893772893772898</v>
      </c>
      <c r="Z26" s="10">
        <v>9</v>
      </c>
      <c r="AA26" s="30">
        <f>(Y26/Z26)</f>
        <v>5.8770858770858778</v>
      </c>
      <c r="AB26" s="10">
        <v>79.099999999999994</v>
      </c>
      <c r="AC26" s="11">
        <f>AB26*1000</f>
        <v>79100</v>
      </c>
      <c r="AD26" s="11">
        <f>AB26*1000</f>
        <v>79100</v>
      </c>
      <c r="AE26" s="10">
        <v>116.4</v>
      </c>
      <c r="AF26" s="11">
        <f>AE26*1000</f>
        <v>116400</v>
      </c>
      <c r="AG26" s="11">
        <f>AF26/H26</f>
        <v>42637.362637362639</v>
      </c>
      <c r="AH26" s="10">
        <v>144.4</v>
      </c>
      <c r="AI26" s="11">
        <f>AH26*1000</f>
        <v>144400</v>
      </c>
      <c r="AJ26" s="11">
        <f>AI26/H26</f>
        <v>52893.772893772897</v>
      </c>
      <c r="AK26" s="11"/>
      <c r="AL26" s="11">
        <f>AJ26</f>
        <v>52893.772893772897</v>
      </c>
      <c r="AM26" s="11"/>
      <c r="AN26" s="11"/>
      <c r="AO26" s="11"/>
      <c r="AP26" s="11"/>
      <c r="AQ26" s="11"/>
      <c r="AR26" s="11"/>
      <c r="AS26" s="11"/>
    </row>
    <row r="27" spans="1:45" ht="32" x14ac:dyDescent="0.4">
      <c r="A27" s="6">
        <v>11</v>
      </c>
      <c r="B27" s="23">
        <v>1386411</v>
      </c>
      <c r="C27" s="3" t="s">
        <v>48</v>
      </c>
      <c r="D27" s="10" t="s">
        <v>26</v>
      </c>
      <c r="E27" s="10" t="s">
        <v>10</v>
      </c>
      <c r="F27" s="1">
        <v>9505010340</v>
      </c>
      <c r="G27" s="17" t="s">
        <v>89</v>
      </c>
      <c r="H27" s="2">
        <v>2.5</v>
      </c>
      <c r="I27" s="4" t="s">
        <v>27</v>
      </c>
      <c r="J27" s="4" t="s">
        <v>33</v>
      </c>
      <c r="K27" s="4" t="s">
        <v>130</v>
      </c>
      <c r="L27" s="4"/>
      <c r="M27" s="2">
        <v>2.5</v>
      </c>
      <c r="N27" s="25" t="s">
        <v>123</v>
      </c>
      <c r="O27" s="25"/>
      <c r="P27" s="25"/>
      <c r="Q27" s="28" t="s">
        <v>118</v>
      </c>
      <c r="R27" s="25"/>
      <c r="S27" s="25"/>
      <c r="T27" s="25"/>
      <c r="U27" s="9">
        <v>46052</v>
      </c>
      <c r="V27" s="25">
        <v>46005</v>
      </c>
      <c r="W27" s="25">
        <v>46010</v>
      </c>
      <c r="X27" s="10">
        <v>12</v>
      </c>
      <c r="Y27" s="11">
        <f>AL27/1000</f>
        <v>119.68</v>
      </c>
      <c r="Z27" s="10">
        <v>9</v>
      </c>
      <c r="AA27" s="30">
        <f>(Y27/Z27)</f>
        <v>13.297777777777778</v>
      </c>
      <c r="AB27" s="10">
        <v>236.5</v>
      </c>
      <c r="AC27" s="11">
        <f>AB27*1000</f>
        <v>236500</v>
      </c>
      <c r="AD27" s="11">
        <f>AB27*1000</f>
        <v>236500</v>
      </c>
      <c r="AE27" s="10">
        <v>272.10000000000002</v>
      </c>
      <c r="AF27" s="11">
        <f>AE27*1000</f>
        <v>272100</v>
      </c>
      <c r="AG27" s="11">
        <f>AF27/H27</f>
        <v>108840</v>
      </c>
      <c r="AH27" s="10">
        <v>299.2</v>
      </c>
      <c r="AI27" s="11">
        <f>AH27*1000</f>
        <v>299200</v>
      </c>
      <c r="AJ27" s="11">
        <f>AI27/H27</f>
        <v>119680</v>
      </c>
      <c r="AK27" s="11"/>
      <c r="AL27" s="11">
        <f>AJ27</f>
        <v>119680</v>
      </c>
      <c r="AM27" s="11"/>
      <c r="AN27" s="11"/>
      <c r="AO27" s="11"/>
      <c r="AP27" s="11"/>
      <c r="AQ27" s="11"/>
      <c r="AR27" s="11"/>
      <c r="AS27" s="11"/>
    </row>
    <row r="28" spans="1:45" ht="16" x14ac:dyDescent="0.4">
      <c r="A28" s="59">
        <v>12</v>
      </c>
      <c r="B28" s="23">
        <v>1386418</v>
      </c>
      <c r="C28" s="3" t="s">
        <v>49</v>
      </c>
      <c r="D28" s="72" t="s">
        <v>26</v>
      </c>
      <c r="E28" s="72" t="s">
        <v>10</v>
      </c>
      <c r="F28" s="3">
        <v>9849807936</v>
      </c>
      <c r="G28" s="17" t="s">
        <v>89</v>
      </c>
      <c r="H28" s="70">
        <v>4.83</v>
      </c>
      <c r="I28" s="4" t="s">
        <v>27</v>
      </c>
      <c r="J28" s="4" t="s">
        <v>33</v>
      </c>
      <c r="K28" s="4" t="s">
        <v>130</v>
      </c>
      <c r="L28" s="4"/>
      <c r="M28" s="2">
        <v>2.48</v>
      </c>
      <c r="N28" s="32" t="s">
        <v>123</v>
      </c>
      <c r="O28" s="32"/>
      <c r="P28" s="32"/>
      <c r="Q28" s="85" t="s">
        <v>118</v>
      </c>
      <c r="R28" s="32"/>
      <c r="S28" s="32"/>
      <c r="T28" s="32"/>
      <c r="U28" s="85">
        <v>46052</v>
      </c>
      <c r="V28" s="32">
        <v>46003</v>
      </c>
      <c r="W28" s="32">
        <v>46010</v>
      </c>
      <c r="X28" s="72">
        <v>8</v>
      </c>
      <c r="Y28" s="41">
        <f>AL28/1000</f>
        <v>59.233954451345753</v>
      </c>
      <c r="Z28" s="72">
        <v>9</v>
      </c>
      <c r="AA28" s="96">
        <f>(Y28/Z28)</f>
        <v>6.5815504945939729</v>
      </c>
      <c r="AB28" s="72">
        <v>185.6</v>
      </c>
      <c r="AC28" s="41">
        <f>AB28*1000</f>
        <v>185600</v>
      </c>
      <c r="AD28" s="41">
        <f>AB28*1000</f>
        <v>185600</v>
      </c>
      <c r="AE28" s="72">
        <v>254.9</v>
      </c>
      <c r="AF28" s="41">
        <f>AE28*1000</f>
        <v>254900</v>
      </c>
      <c r="AG28" s="41">
        <f>AF28/H28</f>
        <v>52774.327122153205</v>
      </c>
      <c r="AH28" s="72">
        <v>286.10000000000002</v>
      </c>
      <c r="AI28" s="41">
        <f>AH28*1000</f>
        <v>286100</v>
      </c>
      <c r="AJ28" s="41">
        <f>AI28/H28</f>
        <v>59233.954451345751</v>
      </c>
      <c r="AK28" s="32"/>
      <c r="AL28" s="41">
        <f>AJ28</f>
        <v>59233.954451345751</v>
      </c>
      <c r="AM28" s="32"/>
      <c r="AN28" s="32"/>
      <c r="AO28" s="32"/>
      <c r="AP28" s="32"/>
      <c r="AQ28" s="32"/>
      <c r="AR28" s="32"/>
      <c r="AS28" s="32"/>
    </row>
    <row r="29" spans="1:45" ht="16" x14ac:dyDescent="0.4">
      <c r="A29" s="60"/>
      <c r="B29" s="23">
        <v>1386416</v>
      </c>
      <c r="C29" s="3" t="s">
        <v>50</v>
      </c>
      <c r="D29" s="81"/>
      <c r="E29" s="81"/>
      <c r="F29" s="3">
        <v>9849807936</v>
      </c>
      <c r="G29" s="17" t="s">
        <v>89</v>
      </c>
      <c r="H29" s="70"/>
      <c r="I29" s="4" t="s">
        <v>27</v>
      </c>
      <c r="J29" s="4" t="s">
        <v>33</v>
      </c>
      <c r="K29" s="4" t="s">
        <v>130</v>
      </c>
      <c r="L29" s="4"/>
      <c r="M29" s="2">
        <v>1.1000000000000001</v>
      </c>
      <c r="N29" s="34"/>
      <c r="O29" s="34"/>
      <c r="P29" s="34"/>
      <c r="Q29" s="87"/>
      <c r="R29" s="34"/>
      <c r="S29" s="34"/>
      <c r="T29" s="34"/>
      <c r="U29" s="87"/>
      <c r="V29" s="34"/>
      <c r="W29" s="34"/>
      <c r="X29" s="81"/>
      <c r="Y29" s="46"/>
      <c r="Z29" s="81"/>
      <c r="AA29" s="98"/>
      <c r="AB29" s="81"/>
      <c r="AC29" s="46"/>
      <c r="AD29" s="46"/>
      <c r="AE29" s="81"/>
      <c r="AF29" s="46"/>
      <c r="AG29" s="46"/>
      <c r="AH29" s="81"/>
      <c r="AI29" s="46"/>
      <c r="AJ29" s="46"/>
      <c r="AK29" s="34"/>
      <c r="AL29" s="46"/>
      <c r="AM29" s="34"/>
      <c r="AN29" s="34"/>
      <c r="AO29" s="34"/>
      <c r="AP29" s="34"/>
      <c r="AQ29" s="34"/>
      <c r="AR29" s="34"/>
      <c r="AS29" s="34"/>
    </row>
    <row r="30" spans="1:45" ht="16" x14ac:dyDescent="0.4">
      <c r="A30" s="61"/>
      <c r="B30" s="23">
        <v>1386417</v>
      </c>
      <c r="C30" s="3" t="s">
        <v>51</v>
      </c>
      <c r="D30" s="73"/>
      <c r="E30" s="73"/>
      <c r="F30" s="3">
        <v>9849807936</v>
      </c>
      <c r="G30" s="17" t="s">
        <v>89</v>
      </c>
      <c r="H30" s="70"/>
      <c r="I30" s="4" t="s">
        <v>27</v>
      </c>
      <c r="J30" s="4" t="s">
        <v>33</v>
      </c>
      <c r="K30" s="4" t="s">
        <v>130</v>
      </c>
      <c r="L30" s="4"/>
      <c r="M30" s="2">
        <v>1.25</v>
      </c>
      <c r="N30" s="33"/>
      <c r="O30" s="33"/>
      <c r="P30" s="33"/>
      <c r="Q30" s="86"/>
      <c r="R30" s="33"/>
      <c r="S30" s="33"/>
      <c r="T30" s="33"/>
      <c r="U30" s="86"/>
      <c r="V30" s="33"/>
      <c r="W30" s="33"/>
      <c r="X30" s="73"/>
      <c r="Y30" s="42"/>
      <c r="Z30" s="73"/>
      <c r="AA30" s="97"/>
      <c r="AB30" s="73"/>
      <c r="AC30" s="42"/>
      <c r="AD30" s="42"/>
      <c r="AE30" s="73"/>
      <c r="AF30" s="42"/>
      <c r="AG30" s="42"/>
      <c r="AH30" s="73"/>
      <c r="AI30" s="42"/>
      <c r="AJ30" s="42"/>
      <c r="AK30" s="33"/>
      <c r="AL30" s="42"/>
      <c r="AM30" s="33"/>
      <c r="AN30" s="33"/>
      <c r="AO30" s="33"/>
      <c r="AP30" s="33"/>
      <c r="AQ30" s="33"/>
      <c r="AR30" s="33"/>
      <c r="AS30" s="33"/>
    </row>
    <row r="31" spans="1:45" ht="16" x14ac:dyDescent="0.4">
      <c r="A31" s="59">
        <v>13</v>
      </c>
      <c r="B31" s="71">
        <v>1386317</v>
      </c>
      <c r="C31" s="68" t="s">
        <v>52</v>
      </c>
      <c r="D31" s="72" t="s">
        <v>9</v>
      </c>
      <c r="E31" s="72" t="s">
        <v>10</v>
      </c>
      <c r="F31" s="68">
        <v>7674068209</v>
      </c>
      <c r="G31" s="17" t="s">
        <v>89</v>
      </c>
      <c r="H31" s="53">
        <v>4.33</v>
      </c>
      <c r="I31" s="4" t="s">
        <v>13</v>
      </c>
      <c r="J31" s="4" t="s">
        <v>40</v>
      </c>
      <c r="K31" s="4" t="s">
        <v>134</v>
      </c>
      <c r="L31" s="4"/>
      <c r="M31" s="2">
        <v>3</v>
      </c>
      <c r="N31" s="32" t="s">
        <v>122</v>
      </c>
      <c r="O31" s="32"/>
      <c r="P31" s="32"/>
      <c r="Q31" s="85" t="s">
        <v>119</v>
      </c>
      <c r="R31" s="32"/>
      <c r="S31" s="32"/>
      <c r="T31" s="32"/>
      <c r="U31" s="62">
        <v>46052</v>
      </c>
      <c r="V31" s="32">
        <v>45997</v>
      </c>
      <c r="W31" s="32">
        <v>46004</v>
      </c>
      <c r="X31" s="72">
        <v>10</v>
      </c>
      <c r="Y31" s="41">
        <f>AI31/1000</f>
        <v>217.7</v>
      </c>
      <c r="Z31" s="72">
        <v>9</v>
      </c>
      <c r="AA31" s="96">
        <f>(Y31/Z31)</f>
        <v>24.188888888888886</v>
      </c>
      <c r="AB31" s="72">
        <v>189.5</v>
      </c>
      <c r="AC31" s="41">
        <f>AB31*1000</f>
        <v>189500</v>
      </c>
      <c r="AD31" s="41">
        <f>AB31*1000</f>
        <v>189500</v>
      </c>
      <c r="AE31" s="72">
        <v>217.3</v>
      </c>
      <c r="AF31" s="41">
        <f>AE31*1000</f>
        <v>217300</v>
      </c>
      <c r="AG31" s="41">
        <f>AF31/H31</f>
        <v>50184.757505773669</v>
      </c>
      <c r="AH31" s="72">
        <v>217.7</v>
      </c>
      <c r="AI31" s="41">
        <f>AH31*1000</f>
        <v>217700</v>
      </c>
      <c r="AJ31" s="41">
        <f>AI31/H31</f>
        <v>50277.13625866051</v>
      </c>
      <c r="AK31" s="32"/>
      <c r="AL31" s="41">
        <f>AJ31</f>
        <v>50277.13625866051</v>
      </c>
      <c r="AM31" s="32"/>
      <c r="AN31" s="32"/>
      <c r="AO31" s="32"/>
      <c r="AP31" s="32"/>
      <c r="AQ31" s="32"/>
      <c r="AR31" s="32"/>
      <c r="AS31" s="32"/>
    </row>
    <row r="32" spans="1:45" ht="16" x14ac:dyDescent="0.4">
      <c r="A32" s="61"/>
      <c r="B32" s="67"/>
      <c r="C32" s="69"/>
      <c r="D32" s="73"/>
      <c r="E32" s="73"/>
      <c r="F32" s="69"/>
      <c r="G32" s="17" t="s">
        <v>89</v>
      </c>
      <c r="H32" s="55"/>
      <c r="I32" s="3" t="s">
        <v>27</v>
      </c>
      <c r="J32" s="4" t="s">
        <v>28</v>
      </c>
      <c r="K32" s="4" t="s">
        <v>130</v>
      </c>
      <c r="L32" s="3"/>
      <c r="M32" s="2">
        <v>1.33</v>
      </c>
      <c r="N32" s="33"/>
      <c r="O32" s="33"/>
      <c r="P32" s="33"/>
      <c r="Q32" s="86"/>
      <c r="R32" s="33"/>
      <c r="S32" s="33"/>
      <c r="T32" s="33"/>
      <c r="U32" s="63"/>
      <c r="V32" s="33"/>
      <c r="W32" s="33"/>
      <c r="X32" s="73"/>
      <c r="Y32" s="42"/>
      <c r="Z32" s="73"/>
      <c r="AA32" s="97"/>
      <c r="AB32" s="73"/>
      <c r="AC32" s="42"/>
      <c r="AD32" s="42"/>
      <c r="AE32" s="73"/>
      <c r="AF32" s="42"/>
      <c r="AG32" s="42"/>
      <c r="AH32" s="73"/>
      <c r="AI32" s="42"/>
      <c r="AJ32" s="42"/>
      <c r="AK32" s="33"/>
      <c r="AL32" s="42"/>
      <c r="AM32" s="33"/>
      <c r="AN32" s="33"/>
      <c r="AO32" s="33"/>
      <c r="AP32" s="33"/>
      <c r="AQ32" s="33"/>
      <c r="AR32" s="33"/>
      <c r="AS32" s="33"/>
    </row>
    <row r="33" spans="1:45" ht="16" x14ac:dyDescent="0.4">
      <c r="A33" s="59">
        <v>14</v>
      </c>
      <c r="B33" s="71">
        <v>1386410</v>
      </c>
      <c r="C33" s="68" t="s">
        <v>53</v>
      </c>
      <c r="D33" s="72" t="s">
        <v>26</v>
      </c>
      <c r="E33" s="72" t="s">
        <v>10</v>
      </c>
      <c r="F33" s="68">
        <v>8121509902</v>
      </c>
      <c r="G33" s="17" t="s">
        <v>89</v>
      </c>
      <c r="H33" s="53">
        <v>3</v>
      </c>
      <c r="I33" s="4" t="s">
        <v>11</v>
      </c>
      <c r="J33" s="3" t="s">
        <v>28</v>
      </c>
      <c r="K33" s="4" t="s">
        <v>131</v>
      </c>
      <c r="L33" s="4"/>
      <c r="M33" s="2">
        <v>1</v>
      </c>
      <c r="N33" s="32" t="s">
        <v>122</v>
      </c>
      <c r="O33" s="32"/>
      <c r="P33" s="32"/>
      <c r="Q33" s="85" t="s">
        <v>118</v>
      </c>
      <c r="R33" s="32"/>
      <c r="S33" s="32"/>
      <c r="T33" s="32"/>
      <c r="U33" s="62">
        <v>46052</v>
      </c>
      <c r="V33" s="32">
        <v>46012</v>
      </c>
      <c r="W33" s="32">
        <v>46020</v>
      </c>
      <c r="X33" s="72">
        <v>8</v>
      </c>
      <c r="Y33" s="41">
        <f>AI33/1000</f>
        <v>90.5</v>
      </c>
      <c r="Z33" s="72">
        <v>9</v>
      </c>
      <c r="AA33" s="96">
        <v>33244.444444444445</v>
      </c>
      <c r="AB33" s="72">
        <v>50.6</v>
      </c>
      <c r="AC33" s="41">
        <f>AB33*1000</f>
        <v>50600</v>
      </c>
      <c r="AD33" s="41">
        <f>AB33*1000</f>
        <v>50600</v>
      </c>
      <c r="AE33" s="72">
        <v>70.099999999999994</v>
      </c>
      <c r="AF33" s="41">
        <f>AE33*1000</f>
        <v>70100</v>
      </c>
      <c r="AG33" s="41">
        <f>AF33/H33</f>
        <v>23366.666666666668</v>
      </c>
      <c r="AH33" s="72">
        <v>90.5</v>
      </c>
      <c r="AI33" s="41">
        <f>AH33*1000</f>
        <v>90500</v>
      </c>
      <c r="AJ33" s="41">
        <f>AI33/H33</f>
        <v>30166.666666666668</v>
      </c>
      <c r="AK33" s="32"/>
      <c r="AL33" s="41">
        <f>AJ33</f>
        <v>30166.666666666668</v>
      </c>
      <c r="AM33" s="32"/>
      <c r="AN33" s="32"/>
      <c r="AO33" s="32"/>
      <c r="AP33" s="32"/>
      <c r="AQ33" s="32"/>
      <c r="AR33" s="32"/>
      <c r="AS33" s="32"/>
    </row>
    <row r="34" spans="1:45" ht="16" x14ac:dyDescent="0.4">
      <c r="A34" s="61"/>
      <c r="B34" s="67"/>
      <c r="C34" s="69"/>
      <c r="D34" s="73"/>
      <c r="E34" s="73"/>
      <c r="F34" s="69"/>
      <c r="G34" s="17" t="s">
        <v>89</v>
      </c>
      <c r="H34" s="55"/>
      <c r="I34" s="4" t="s">
        <v>27</v>
      </c>
      <c r="J34" s="4" t="s">
        <v>136</v>
      </c>
      <c r="K34" s="4" t="s">
        <v>135</v>
      </c>
      <c r="L34" s="4"/>
      <c r="M34" s="2">
        <v>2</v>
      </c>
      <c r="N34" s="33"/>
      <c r="O34" s="33"/>
      <c r="P34" s="33"/>
      <c r="Q34" s="86"/>
      <c r="R34" s="33"/>
      <c r="S34" s="33"/>
      <c r="T34" s="33"/>
      <c r="U34" s="63"/>
      <c r="V34" s="33"/>
      <c r="W34" s="33"/>
      <c r="X34" s="73"/>
      <c r="Y34" s="42"/>
      <c r="Z34" s="73"/>
      <c r="AA34" s="97"/>
      <c r="AB34" s="73"/>
      <c r="AC34" s="42"/>
      <c r="AD34" s="42"/>
      <c r="AE34" s="73"/>
      <c r="AF34" s="42"/>
      <c r="AG34" s="42"/>
      <c r="AH34" s="73"/>
      <c r="AI34" s="42"/>
      <c r="AJ34" s="42"/>
      <c r="AK34" s="33"/>
      <c r="AL34" s="42"/>
      <c r="AM34" s="33"/>
      <c r="AN34" s="33"/>
      <c r="AO34" s="33"/>
      <c r="AP34" s="33"/>
      <c r="AQ34" s="33"/>
      <c r="AR34" s="33"/>
      <c r="AS34" s="33"/>
    </row>
    <row r="35" spans="1:45" ht="16" x14ac:dyDescent="0.4">
      <c r="A35" s="59">
        <v>15</v>
      </c>
      <c r="B35" s="23">
        <v>1386407</v>
      </c>
      <c r="C35" s="3" t="s">
        <v>54</v>
      </c>
      <c r="D35" s="10" t="s">
        <v>9</v>
      </c>
      <c r="E35" s="10" t="s">
        <v>10</v>
      </c>
      <c r="F35" s="3">
        <v>9908813295</v>
      </c>
      <c r="G35" s="17" t="s">
        <v>89</v>
      </c>
      <c r="H35" s="53">
        <v>5.46</v>
      </c>
      <c r="I35" s="4" t="s">
        <v>41</v>
      </c>
      <c r="J35" s="4" t="s">
        <v>55</v>
      </c>
      <c r="K35" s="4" t="s">
        <v>129</v>
      </c>
      <c r="L35" s="4"/>
      <c r="M35" s="2">
        <v>2.08</v>
      </c>
      <c r="N35" s="32" t="s">
        <v>124</v>
      </c>
      <c r="O35" s="32"/>
      <c r="P35" s="32"/>
      <c r="Q35" s="85" t="s">
        <v>119</v>
      </c>
      <c r="R35" s="32"/>
      <c r="S35" s="32"/>
      <c r="T35" s="32"/>
      <c r="U35" s="9">
        <v>46052</v>
      </c>
      <c r="V35" s="32">
        <v>46006</v>
      </c>
      <c r="W35" s="32">
        <v>46011</v>
      </c>
      <c r="X35" s="72">
        <v>8</v>
      </c>
      <c r="Y35" s="41">
        <f>AL35/1000</f>
        <v>126.68563300142246</v>
      </c>
      <c r="Z35" s="72">
        <v>9</v>
      </c>
      <c r="AA35" s="96">
        <v>33244.444444444445</v>
      </c>
      <c r="AB35" s="72">
        <v>86.9</v>
      </c>
      <c r="AC35" s="41">
        <f>AB35*1000</f>
        <v>86900</v>
      </c>
      <c r="AD35" s="41">
        <f>AB35*1000</f>
        <v>86900</v>
      </c>
      <c r="AE35" s="72">
        <v>107.7</v>
      </c>
      <c r="AF35" s="41">
        <f>AE35*1000</f>
        <v>107700</v>
      </c>
      <c r="AG35" s="41">
        <f>AF35/H35</f>
        <v>19725.274725274725</v>
      </c>
      <c r="AH35" s="72">
        <v>135.80000000000001</v>
      </c>
      <c r="AI35" s="41">
        <f>AH35*1000</f>
        <v>135800</v>
      </c>
      <c r="AJ35" s="41">
        <f>AI35/H35</f>
        <v>24871.794871794871</v>
      </c>
      <c r="AK35" s="32"/>
      <c r="AL35" s="41">
        <f>AJ3</f>
        <v>126685.63300142247</v>
      </c>
      <c r="AM35" s="32"/>
      <c r="AN35" s="32"/>
      <c r="AO35" s="32"/>
      <c r="AP35" s="32"/>
      <c r="AQ35" s="32"/>
      <c r="AR35" s="32"/>
      <c r="AS35" s="32"/>
    </row>
    <row r="36" spans="1:45" ht="16" x14ac:dyDescent="0.4">
      <c r="A36" s="61"/>
      <c r="B36" s="23">
        <v>1386406</v>
      </c>
      <c r="C36" s="3" t="s">
        <v>56</v>
      </c>
      <c r="D36" s="10" t="s">
        <v>9</v>
      </c>
      <c r="E36" s="10" t="s">
        <v>10</v>
      </c>
      <c r="F36" s="3">
        <v>9908813295</v>
      </c>
      <c r="G36" s="17" t="s">
        <v>89</v>
      </c>
      <c r="H36" s="55"/>
      <c r="I36" s="4" t="s">
        <v>41</v>
      </c>
      <c r="J36" s="4" t="s">
        <v>57</v>
      </c>
      <c r="K36" s="4" t="s">
        <v>137</v>
      </c>
      <c r="L36" s="4"/>
      <c r="M36" s="2">
        <v>3.38</v>
      </c>
      <c r="N36" s="33"/>
      <c r="O36" s="33"/>
      <c r="P36" s="33"/>
      <c r="Q36" s="86"/>
      <c r="R36" s="33"/>
      <c r="S36" s="33"/>
      <c r="T36" s="33"/>
      <c r="U36" s="9">
        <v>46052</v>
      </c>
      <c r="V36" s="33"/>
      <c r="W36" s="33"/>
      <c r="X36" s="73"/>
      <c r="Y36" s="42"/>
      <c r="Z36" s="73"/>
      <c r="AA36" s="97"/>
      <c r="AB36" s="73"/>
      <c r="AC36" s="42"/>
      <c r="AD36" s="42"/>
      <c r="AE36" s="73"/>
      <c r="AF36" s="42"/>
      <c r="AG36" s="42"/>
      <c r="AH36" s="73"/>
      <c r="AI36" s="42"/>
      <c r="AJ36" s="42"/>
      <c r="AK36" s="33"/>
      <c r="AL36" s="42"/>
      <c r="AM36" s="33"/>
      <c r="AN36" s="33"/>
      <c r="AO36" s="33"/>
      <c r="AP36" s="33"/>
      <c r="AQ36" s="33"/>
      <c r="AR36" s="33"/>
      <c r="AS36" s="33"/>
    </row>
    <row r="37" spans="1:45" ht="16" x14ac:dyDescent="0.4">
      <c r="A37" s="59">
        <v>16</v>
      </c>
      <c r="B37" s="71">
        <v>1386409</v>
      </c>
      <c r="C37" s="68" t="s">
        <v>58</v>
      </c>
      <c r="D37" s="72" t="s">
        <v>9</v>
      </c>
      <c r="E37" s="72" t="s">
        <v>10</v>
      </c>
      <c r="F37" s="68">
        <v>9963344271</v>
      </c>
      <c r="G37" s="17" t="s">
        <v>89</v>
      </c>
      <c r="H37" s="53">
        <v>6.23</v>
      </c>
      <c r="I37" s="4" t="s">
        <v>11</v>
      </c>
      <c r="J37" s="4" t="s">
        <v>59</v>
      </c>
      <c r="K37" s="4" t="s">
        <v>130</v>
      </c>
      <c r="L37" s="4"/>
      <c r="M37" s="2">
        <v>2</v>
      </c>
      <c r="N37" s="32" t="s">
        <v>122</v>
      </c>
      <c r="O37" s="32"/>
      <c r="P37" s="32"/>
      <c r="Q37" s="85" t="s">
        <v>119</v>
      </c>
      <c r="R37" s="32"/>
      <c r="S37" s="32"/>
      <c r="T37" s="32"/>
      <c r="U37" s="62">
        <v>46052</v>
      </c>
      <c r="V37" s="32">
        <v>46006</v>
      </c>
      <c r="W37" s="32">
        <v>46012</v>
      </c>
      <c r="X37" s="72">
        <v>10</v>
      </c>
      <c r="Y37" s="41">
        <f>AL37/1000</f>
        <v>50.866773675762438</v>
      </c>
      <c r="Z37" s="72">
        <v>9</v>
      </c>
      <c r="AA37" s="96">
        <f>(Y37/Z37)</f>
        <v>5.6518637417513817</v>
      </c>
      <c r="AB37" s="72">
        <v>252.7</v>
      </c>
      <c r="AC37" s="41">
        <f>AB37*1000</f>
        <v>252700</v>
      </c>
      <c r="AD37" s="41">
        <f>AB37*1000</f>
        <v>252700</v>
      </c>
      <c r="AE37" s="72">
        <v>283.5</v>
      </c>
      <c r="AF37" s="41">
        <f>AE37*1000</f>
        <v>283500</v>
      </c>
      <c r="AG37" s="41">
        <f>AF37/H37</f>
        <v>45505.617977528083</v>
      </c>
      <c r="AH37" s="72">
        <v>316.89999999999998</v>
      </c>
      <c r="AI37" s="41">
        <f>AH37*1000</f>
        <v>316900</v>
      </c>
      <c r="AJ37" s="41">
        <f>AI37/H37</f>
        <v>50866.773675762437</v>
      </c>
      <c r="AK37" s="32"/>
      <c r="AL37" s="41">
        <f>AJ37</f>
        <v>50866.773675762437</v>
      </c>
      <c r="AM37" s="32"/>
      <c r="AN37" s="32"/>
      <c r="AO37" s="32"/>
      <c r="AP37" s="32"/>
      <c r="AQ37" s="32"/>
      <c r="AR37" s="32"/>
      <c r="AS37" s="32"/>
    </row>
    <row r="38" spans="1:45" ht="16" x14ac:dyDescent="0.4">
      <c r="A38" s="60"/>
      <c r="B38" s="67"/>
      <c r="C38" s="69"/>
      <c r="D38" s="73"/>
      <c r="E38" s="73"/>
      <c r="F38" s="69"/>
      <c r="G38" s="17" t="s">
        <v>89</v>
      </c>
      <c r="H38" s="54"/>
      <c r="I38" s="4" t="s">
        <v>17</v>
      </c>
      <c r="J38" s="4" t="s">
        <v>59</v>
      </c>
      <c r="K38" s="4" t="s">
        <v>131</v>
      </c>
      <c r="L38" s="4"/>
      <c r="M38" s="2">
        <v>1</v>
      </c>
      <c r="N38" s="34"/>
      <c r="O38" s="34"/>
      <c r="P38" s="34"/>
      <c r="Q38" s="87"/>
      <c r="R38" s="34"/>
      <c r="S38" s="34"/>
      <c r="T38" s="34"/>
      <c r="U38" s="63"/>
      <c r="V38" s="34"/>
      <c r="W38" s="34"/>
      <c r="X38" s="81"/>
      <c r="Y38" s="46"/>
      <c r="Z38" s="81"/>
      <c r="AA38" s="98"/>
      <c r="AB38" s="81"/>
      <c r="AC38" s="46"/>
      <c r="AD38" s="46"/>
      <c r="AE38" s="81"/>
      <c r="AF38" s="46"/>
      <c r="AG38" s="46"/>
      <c r="AH38" s="81"/>
      <c r="AI38" s="46"/>
      <c r="AJ38" s="46"/>
      <c r="AK38" s="34"/>
      <c r="AL38" s="46"/>
      <c r="AM38" s="34"/>
      <c r="AN38" s="34"/>
      <c r="AO38" s="34"/>
      <c r="AP38" s="34"/>
      <c r="AQ38" s="34"/>
      <c r="AR38" s="34"/>
      <c r="AS38" s="34"/>
    </row>
    <row r="39" spans="1:45" ht="16" x14ac:dyDescent="0.4">
      <c r="A39" s="60"/>
      <c r="B39" s="71">
        <v>1386408</v>
      </c>
      <c r="C39" s="68" t="s">
        <v>60</v>
      </c>
      <c r="D39" s="72" t="s">
        <v>9</v>
      </c>
      <c r="E39" s="72" t="s">
        <v>10</v>
      </c>
      <c r="F39" s="68">
        <v>9963344271</v>
      </c>
      <c r="G39" s="17" t="s">
        <v>89</v>
      </c>
      <c r="H39" s="54"/>
      <c r="I39" s="4" t="s">
        <v>61</v>
      </c>
      <c r="J39" s="4" t="s">
        <v>62</v>
      </c>
      <c r="K39" s="4" t="s">
        <v>138</v>
      </c>
      <c r="L39" s="4"/>
      <c r="M39" s="2">
        <v>1</v>
      </c>
      <c r="N39" s="34"/>
      <c r="O39" s="34"/>
      <c r="P39" s="34"/>
      <c r="Q39" s="87"/>
      <c r="R39" s="34"/>
      <c r="S39" s="34"/>
      <c r="T39" s="34"/>
      <c r="U39" s="62">
        <v>46052</v>
      </c>
      <c r="V39" s="34"/>
      <c r="W39" s="34"/>
      <c r="X39" s="81"/>
      <c r="Y39" s="46"/>
      <c r="Z39" s="81"/>
      <c r="AA39" s="98"/>
      <c r="AB39" s="81"/>
      <c r="AC39" s="46"/>
      <c r="AD39" s="46"/>
      <c r="AE39" s="81"/>
      <c r="AF39" s="46"/>
      <c r="AG39" s="46"/>
      <c r="AH39" s="81"/>
      <c r="AI39" s="46"/>
      <c r="AJ39" s="46"/>
      <c r="AK39" s="34"/>
      <c r="AL39" s="46"/>
      <c r="AM39" s="34"/>
      <c r="AN39" s="34"/>
      <c r="AO39" s="34"/>
      <c r="AP39" s="34"/>
      <c r="AQ39" s="34"/>
      <c r="AR39" s="34"/>
      <c r="AS39" s="34"/>
    </row>
    <row r="40" spans="1:45" ht="16" x14ac:dyDescent="0.4">
      <c r="A40" s="61"/>
      <c r="B40" s="67"/>
      <c r="C40" s="69"/>
      <c r="D40" s="73"/>
      <c r="E40" s="73"/>
      <c r="F40" s="69"/>
      <c r="G40" s="17" t="s">
        <v>89</v>
      </c>
      <c r="H40" s="55"/>
      <c r="I40" s="4" t="s">
        <v>17</v>
      </c>
      <c r="J40" s="4" t="s">
        <v>59</v>
      </c>
      <c r="K40" s="4" t="s">
        <v>137</v>
      </c>
      <c r="L40" s="4"/>
      <c r="M40" s="2">
        <v>2.23</v>
      </c>
      <c r="N40" s="33"/>
      <c r="O40" s="33"/>
      <c r="P40" s="33"/>
      <c r="Q40" s="86"/>
      <c r="R40" s="33"/>
      <c r="S40" s="33"/>
      <c r="T40" s="33"/>
      <c r="U40" s="63"/>
      <c r="V40" s="33"/>
      <c r="W40" s="33"/>
      <c r="X40" s="73"/>
      <c r="Y40" s="42"/>
      <c r="Z40" s="73"/>
      <c r="AA40" s="97"/>
      <c r="AB40" s="73"/>
      <c r="AC40" s="42"/>
      <c r="AD40" s="42"/>
      <c r="AE40" s="73"/>
      <c r="AF40" s="42"/>
      <c r="AG40" s="42"/>
      <c r="AH40" s="73"/>
      <c r="AI40" s="42"/>
      <c r="AJ40" s="42"/>
      <c r="AK40" s="33"/>
      <c r="AL40" s="42"/>
      <c r="AM40" s="33"/>
      <c r="AN40" s="33"/>
      <c r="AO40" s="33"/>
      <c r="AP40" s="33"/>
      <c r="AQ40" s="33"/>
      <c r="AR40" s="33"/>
      <c r="AS40" s="33"/>
    </row>
    <row r="41" spans="1:45" ht="16" x14ac:dyDescent="0.4">
      <c r="A41" s="6">
        <v>17</v>
      </c>
      <c r="B41" s="23">
        <v>1386436</v>
      </c>
      <c r="C41" s="1" t="s">
        <v>63</v>
      </c>
      <c r="D41" s="10" t="s">
        <v>32</v>
      </c>
      <c r="E41" s="10" t="s">
        <v>10</v>
      </c>
      <c r="F41" s="1">
        <v>9398081865</v>
      </c>
      <c r="G41" s="17" t="s">
        <v>89</v>
      </c>
      <c r="H41" s="2">
        <v>2</v>
      </c>
      <c r="I41" s="4" t="s">
        <v>126</v>
      </c>
      <c r="J41" s="4" t="s">
        <v>64</v>
      </c>
      <c r="K41" s="4" t="s">
        <v>129</v>
      </c>
      <c r="L41" s="4"/>
      <c r="M41" s="2">
        <v>2</v>
      </c>
      <c r="N41" s="25" t="s">
        <v>122</v>
      </c>
      <c r="O41" s="25"/>
      <c r="P41" s="25"/>
      <c r="Q41" s="28" t="s">
        <v>119</v>
      </c>
      <c r="R41" s="25"/>
      <c r="S41" s="25"/>
      <c r="T41" s="25"/>
      <c r="U41" s="9">
        <v>46052</v>
      </c>
      <c r="V41" s="25">
        <v>46020</v>
      </c>
      <c r="W41" s="25">
        <v>46021</v>
      </c>
      <c r="X41" s="10"/>
      <c r="Y41" s="11">
        <f>AL41/1000</f>
        <v>0</v>
      </c>
      <c r="Z41" s="10">
        <v>9</v>
      </c>
      <c r="AA41" s="30"/>
      <c r="AB41" s="10"/>
      <c r="AC41" s="11">
        <f>AB41*1000</f>
        <v>0</v>
      </c>
      <c r="AD41" s="11">
        <f>AB41*1000</f>
        <v>0</v>
      </c>
      <c r="AE41" s="10"/>
      <c r="AF41" s="11">
        <f>AE41*1000</f>
        <v>0</v>
      </c>
      <c r="AG41" s="11"/>
      <c r="AH41" s="10">
        <v>0</v>
      </c>
      <c r="AI41" s="11">
        <f>AH41*1000</f>
        <v>0</v>
      </c>
      <c r="AJ41" s="11">
        <f>AI41/H41</f>
        <v>0</v>
      </c>
      <c r="AK41" s="11"/>
      <c r="AL41" s="11">
        <f>AJ41*1000</f>
        <v>0</v>
      </c>
      <c r="AM41" s="11"/>
      <c r="AN41" s="11"/>
      <c r="AO41" s="11"/>
      <c r="AP41" s="11"/>
      <c r="AQ41" s="11"/>
      <c r="AR41" s="11"/>
      <c r="AS41" s="11"/>
    </row>
    <row r="42" spans="1:45" ht="16" x14ac:dyDescent="0.4">
      <c r="A42" s="59">
        <v>18</v>
      </c>
      <c r="B42" s="71">
        <v>1386092</v>
      </c>
      <c r="C42" s="68" t="s">
        <v>65</v>
      </c>
      <c r="D42" s="72" t="s">
        <v>32</v>
      </c>
      <c r="E42" s="72" t="s">
        <v>10</v>
      </c>
      <c r="F42" s="68">
        <v>7674068209</v>
      </c>
      <c r="G42" s="17" t="s">
        <v>89</v>
      </c>
      <c r="H42" s="53">
        <v>4.88</v>
      </c>
      <c r="I42" s="4" t="s">
        <v>41</v>
      </c>
      <c r="J42" s="4" t="s">
        <v>66</v>
      </c>
      <c r="K42" s="4" t="s">
        <v>131</v>
      </c>
      <c r="L42" s="4"/>
      <c r="M42" s="2">
        <v>2.33</v>
      </c>
      <c r="N42" s="32" t="s">
        <v>122</v>
      </c>
      <c r="O42" s="32"/>
      <c r="P42" s="32"/>
      <c r="Q42" s="85" t="s">
        <v>119</v>
      </c>
      <c r="R42" s="32"/>
      <c r="S42" s="32"/>
      <c r="T42" s="32"/>
      <c r="U42" s="62">
        <v>46052</v>
      </c>
      <c r="V42" s="62">
        <v>46017</v>
      </c>
      <c r="W42" s="62">
        <v>46019</v>
      </c>
      <c r="X42" s="72">
        <v>10</v>
      </c>
      <c r="Y42" s="41">
        <f>AL42/1000</f>
        <v>53.524590163934427</v>
      </c>
      <c r="Z42" s="72">
        <v>9</v>
      </c>
      <c r="AA42" s="96"/>
      <c r="AB42" s="72">
        <v>148.69999999999999</v>
      </c>
      <c r="AC42" s="41">
        <f>AB42*1000</f>
        <v>148700</v>
      </c>
      <c r="AD42" s="41">
        <f>AB42*1000</f>
        <v>148700</v>
      </c>
      <c r="AE42" s="72">
        <v>212.4</v>
      </c>
      <c r="AF42" s="41">
        <f>AE42*1000</f>
        <v>212400</v>
      </c>
      <c r="AG42" s="41">
        <f>AF42/H42</f>
        <v>43524.59016393443</v>
      </c>
      <c r="AH42" s="72">
        <v>261.2</v>
      </c>
      <c r="AI42" s="41">
        <f>AH42*1000</f>
        <v>261200</v>
      </c>
      <c r="AJ42" s="41">
        <f>AI42/H42</f>
        <v>53524.59016393443</v>
      </c>
      <c r="AK42" s="32"/>
      <c r="AL42" s="41">
        <f>AJ42</f>
        <v>53524.59016393443</v>
      </c>
      <c r="AM42" s="32"/>
      <c r="AN42" s="32"/>
      <c r="AO42" s="32"/>
      <c r="AP42" s="32"/>
      <c r="AQ42" s="32"/>
      <c r="AR42" s="32"/>
      <c r="AS42" s="32"/>
    </row>
    <row r="43" spans="1:45" ht="16" x14ac:dyDescent="0.4">
      <c r="A43" s="61"/>
      <c r="B43" s="67"/>
      <c r="C43" s="69"/>
      <c r="D43" s="73"/>
      <c r="E43" s="73"/>
      <c r="F43" s="69"/>
      <c r="G43" s="17" t="s">
        <v>89</v>
      </c>
      <c r="H43" s="55"/>
      <c r="I43" s="4" t="s">
        <v>67</v>
      </c>
      <c r="J43" s="4" t="s">
        <v>62</v>
      </c>
      <c r="K43" s="4" t="s">
        <v>139</v>
      </c>
      <c r="L43" s="4"/>
      <c r="M43" s="2">
        <v>2.5499999999999998</v>
      </c>
      <c r="N43" s="33"/>
      <c r="O43" s="33"/>
      <c r="P43" s="33"/>
      <c r="Q43" s="86"/>
      <c r="R43" s="33"/>
      <c r="S43" s="33"/>
      <c r="T43" s="33"/>
      <c r="U43" s="63"/>
      <c r="V43" s="63"/>
      <c r="W43" s="63"/>
      <c r="X43" s="73"/>
      <c r="Y43" s="42"/>
      <c r="Z43" s="73"/>
      <c r="AA43" s="97"/>
      <c r="AB43" s="73"/>
      <c r="AC43" s="42"/>
      <c r="AD43" s="42"/>
      <c r="AE43" s="73"/>
      <c r="AF43" s="42"/>
      <c r="AG43" s="42"/>
      <c r="AH43" s="73"/>
      <c r="AI43" s="42"/>
      <c r="AJ43" s="42"/>
      <c r="AK43" s="33"/>
      <c r="AL43" s="42"/>
      <c r="AM43" s="33"/>
      <c r="AN43" s="33"/>
      <c r="AO43" s="33"/>
      <c r="AP43" s="33"/>
      <c r="AQ43" s="33"/>
      <c r="AR43" s="33"/>
      <c r="AS43" s="33"/>
    </row>
    <row r="44" spans="1:45" ht="16" x14ac:dyDescent="0.4">
      <c r="A44" s="59">
        <v>19</v>
      </c>
      <c r="B44" s="71">
        <v>1386440</v>
      </c>
      <c r="C44" s="74" t="s">
        <v>68</v>
      </c>
      <c r="D44" s="72" t="s">
        <v>32</v>
      </c>
      <c r="E44" s="72" t="s">
        <v>10</v>
      </c>
      <c r="F44" s="74">
        <v>9573045859</v>
      </c>
      <c r="G44" s="17" t="s">
        <v>89</v>
      </c>
      <c r="H44" s="53">
        <v>9.24</v>
      </c>
      <c r="I44" s="4" t="s">
        <v>27</v>
      </c>
      <c r="J44" s="4" t="s">
        <v>69</v>
      </c>
      <c r="K44" s="4" t="s">
        <v>131</v>
      </c>
      <c r="L44" s="4"/>
      <c r="M44" s="2">
        <v>4</v>
      </c>
      <c r="N44" s="32" t="s">
        <v>122</v>
      </c>
      <c r="O44" s="32"/>
      <c r="P44" s="32"/>
      <c r="Q44" s="85" t="s">
        <v>119</v>
      </c>
      <c r="R44" s="32"/>
      <c r="S44" s="32"/>
      <c r="T44" s="32"/>
      <c r="U44" s="62">
        <v>46052</v>
      </c>
      <c r="V44" s="32">
        <v>46007</v>
      </c>
      <c r="W44" s="32">
        <v>46011</v>
      </c>
      <c r="X44" s="72">
        <v>12</v>
      </c>
      <c r="Y44" s="41">
        <f>AL44/1000</f>
        <v>56.536796536796537</v>
      </c>
      <c r="Z44" s="72">
        <v>9</v>
      </c>
      <c r="AA44" s="96"/>
      <c r="AB44" s="72">
        <v>383.4</v>
      </c>
      <c r="AC44" s="41">
        <f>AB44*1000</f>
        <v>383400</v>
      </c>
      <c r="AD44" s="41">
        <f>AB44*1000</f>
        <v>383400</v>
      </c>
      <c r="AE44" s="72">
        <v>455.1</v>
      </c>
      <c r="AF44" s="41">
        <f>AE44*1000</f>
        <v>455100</v>
      </c>
      <c r="AG44" s="41">
        <f>AF44/H44</f>
        <v>49253.246753246749</v>
      </c>
      <c r="AH44" s="72">
        <v>522.4</v>
      </c>
      <c r="AI44" s="41">
        <f>AH44*1000</f>
        <v>522400</v>
      </c>
      <c r="AJ44" s="41">
        <f>AI44/H44</f>
        <v>56536.796536796537</v>
      </c>
      <c r="AK44" s="32"/>
      <c r="AL44" s="41">
        <f>AJ44</f>
        <v>56536.796536796537</v>
      </c>
      <c r="AM44" s="32"/>
      <c r="AN44" s="32"/>
      <c r="AO44" s="32"/>
      <c r="AP44" s="32"/>
      <c r="AQ44" s="32"/>
      <c r="AR44" s="32"/>
      <c r="AS44" s="32"/>
    </row>
    <row r="45" spans="1:45" ht="16" x14ac:dyDescent="0.4">
      <c r="A45" s="60"/>
      <c r="B45" s="66"/>
      <c r="C45" s="76"/>
      <c r="D45" s="81"/>
      <c r="E45" s="81"/>
      <c r="F45" s="76"/>
      <c r="G45" s="17" t="s">
        <v>89</v>
      </c>
      <c r="H45" s="54"/>
      <c r="I45" s="4" t="s">
        <v>27</v>
      </c>
      <c r="J45" s="4" t="s">
        <v>70</v>
      </c>
      <c r="K45" s="4" t="s">
        <v>131</v>
      </c>
      <c r="L45" s="4"/>
      <c r="M45" s="2">
        <v>1.24</v>
      </c>
      <c r="N45" s="34"/>
      <c r="O45" s="34"/>
      <c r="P45" s="34"/>
      <c r="Q45" s="87"/>
      <c r="R45" s="34"/>
      <c r="S45" s="34"/>
      <c r="T45" s="34"/>
      <c r="U45" s="63"/>
      <c r="V45" s="34"/>
      <c r="W45" s="34"/>
      <c r="X45" s="81"/>
      <c r="Y45" s="46"/>
      <c r="Z45" s="81"/>
      <c r="AA45" s="98"/>
      <c r="AB45" s="81"/>
      <c r="AC45" s="46"/>
      <c r="AD45" s="46"/>
      <c r="AE45" s="81"/>
      <c r="AF45" s="46"/>
      <c r="AG45" s="46"/>
      <c r="AH45" s="81"/>
      <c r="AI45" s="46"/>
      <c r="AJ45" s="46"/>
      <c r="AK45" s="34"/>
      <c r="AL45" s="46"/>
      <c r="AM45" s="34"/>
      <c r="AN45" s="34"/>
      <c r="AO45" s="34"/>
      <c r="AP45" s="34"/>
      <c r="AQ45" s="34"/>
      <c r="AR45" s="34"/>
      <c r="AS45" s="34"/>
    </row>
    <row r="46" spans="1:45" ht="16" x14ac:dyDescent="0.4">
      <c r="A46" s="60"/>
      <c r="B46" s="23">
        <v>1386439</v>
      </c>
      <c r="C46" s="1" t="s">
        <v>71</v>
      </c>
      <c r="D46" s="81"/>
      <c r="E46" s="81"/>
      <c r="F46" s="1">
        <v>9573045859</v>
      </c>
      <c r="G46" s="17" t="s">
        <v>89</v>
      </c>
      <c r="H46" s="54"/>
      <c r="I46" s="4" t="s">
        <v>27</v>
      </c>
      <c r="J46" s="4" t="s">
        <v>70</v>
      </c>
      <c r="K46" s="4" t="s">
        <v>131</v>
      </c>
      <c r="L46" s="4"/>
      <c r="M46" s="2">
        <v>2</v>
      </c>
      <c r="N46" s="34"/>
      <c r="O46" s="34"/>
      <c r="P46" s="34"/>
      <c r="Q46" s="87"/>
      <c r="R46" s="34"/>
      <c r="S46" s="34"/>
      <c r="T46" s="34"/>
      <c r="U46" s="9">
        <v>46052</v>
      </c>
      <c r="V46" s="34"/>
      <c r="W46" s="34"/>
      <c r="X46" s="81"/>
      <c r="Y46" s="46"/>
      <c r="Z46" s="81"/>
      <c r="AA46" s="98"/>
      <c r="AB46" s="81"/>
      <c r="AC46" s="46"/>
      <c r="AD46" s="46"/>
      <c r="AE46" s="81"/>
      <c r="AF46" s="46"/>
      <c r="AG46" s="46"/>
      <c r="AH46" s="81"/>
      <c r="AI46" s="46"/>
      <c r="AJ46" s="46"/>
      <c r="AK46" s="34"/>
      <c r="AL46" s="46"/>
      <c r="AM46" s="34"/>
      <c r="AN46" s="34"/>
      <c r="AO46" s="34"/>
      <c r="AP46" s="34"/>
      <c r="AQ46" s="34"/>
      <c r="AR46" s="34"/>
      <c r="AS46" s="34"/>
    </row>
    <row r="47" spans="1:45" ht="16" x14ac:dyDescent="0.4">
      <c r="A47" s="60"/>
      <c r="B47" s="71">
        <v>1386438</v>
      </c>
      <c r="C47" s="74" t="s">
        <v>72</v>
      </c>
      <c r="D47" s="81"/>
      <c r="E47" s="81"/>
      <c r="F47" s="74">
        <v>9573045859</v>
      </c>
      <c r="G47" s="17" t="s">
        <v>89</v>
      </c>
      <c r="H47" s="54"/>
      <c r="I47" s="4" t="s">
        <v>11</v>
      </c>
      <c r="J47" s="4" t="s">
        <v>70</v>
      </c>
      <c r="K47" s="4" t="s">
        <v>137</v>
      </c>
      <c r="L47" s="4"/>
      <c r="M47" s="2">
        <v>1</v>
      </c>
      <c r="N47" s="34"/>
      <c r="O47" s="34"/>
      <c r="P47" s="34"/>
      <c r="Q47" s="87"/>
      <c r="R47" s="34"/>
      <c r="S47" s="34"/>
      <c r="T47" s="34"/>
      <c r="U47" s="62">
        <v>46052</v>
      </c>
      <c r="V47" s="34"/>
      <c r="W47" s="34"/>
      <c r="X47" s="81"/>
      <c r="Y47" s="46"/>
      <c r="Z47" s="81"/>
      <c r="AA47" s="98"/>
      <c r="AB47" s="81"/>
      <c r="AC47" s="46"/>
      <c r="AD47" s="46"/>
      <c r="AE47" s="81"/>
      <c r="AF47" s="46"/>
      <c r="AG47" s="46"/>
      <c r="AH47" s="81"/>
      <c r="AI47" s="46"/>
      <c r="AJ47" s="46"/>
      <c r="AK47" s="34"/>
      <c r="AL47" s="46"/>
      <c r="AM47" s="34"/>
      <c r="AN47" s="34"/>
      <c r="AO47" s="34"/>
      <c r="AP47" s="34"/>
      <c r="AQ47" s="34"/>
      <c r="AR47" s="34"/>
      <c r="AS47" s="34"/>
    </row>
    <row r="48" spans="1:45" ht="16" x14ac:dyDescent="0.4">
      <c r="A48" s="61"/>
      <c r="B48" s="67"/>
      <c r="C48" s="76"/>
      <c r="D48" s="73"/>
      <c r="E48" s="73"/>
      <c r="F48" s="76"/>
      <c r="G48" s="17" t="s">
        <v>89</v>
      </c>
      <c r="H48" s="55"/>
      <c r="I48" s="4" t="s">
        <v>41</v>
      </c>
      <c r="J48" s="4" t="s">
        <v>127</v>
      </c>
      <c r="K48" s="4" t="s">
        <v>137</v>
      </c>
      <c r="L48" s="4"/>
      <c r="M48" s="2">
        <v>1</v>
      </c>
      <c r="N48" s="33"/>
      <c r="O48" s="33"/>
      <c r="P48" s="33"/>
      <c r="Q48" s="86"/>
      <c r="R48" s="33"/>
      <c r="S48" s="33"/>
      <c r="T48" s="33"/>
      <c r="U48" s="63"/>
      <c r="V48" s="33"/>
      <c r="W48" s="33"/>
      <c r="X48" s="73"/>
      <c r="Y48" s="42"/>
      <c r="Z48" s="73"/>
      <c r="AA48" s="97"/>
      <c r="AB48" s="73"/>
      <c r="AC48" s="42"/>
      <c r="AD48" s="42"/>
      <c r="AE48" s="73"/>
      <c r="AF48" s="42"/>
      <c r="AG48" s="42"/>
      <c r="AH48" s="73"/>
      <c r="AI48" s="42"/>
      <c r="AJ48" s="42"/>
      <c r="AK48" s="33"/>
      <c r="AL48" s="42"/>
      <c r="AM48" s="33"/>
      <c r="AN48" s="33"/>
      <c r="AO48" s="33"/>
      <c r="AP48" s="33"/>
      <c r="AQ48" s="33"/>
      <c r="AR48" s="33"/>
      <c r="AS48" s="33"/>
    </row>
    <row r="49" spans="1:45" ht="16" x14ac:dyDescent="0.4">
      <c r="A49" s="83">
        <v>20</v>
      </c>
      <c r="B49" s="23">
        <v>1386435</v>
      </c>
      <c r="C49" s="1" t="s">
        <v>73</v>
      </c>
      <c r="D49" s="72" t="s">
        <v>32</v>
      </c>
      <c r="E49" s="72" t="s">
        <v>10</v>
      </c>
      <c r="F49" s="1">
        <v>8374170477</v>
      </c>
      <c r="G49" s="17" t="s">
        <v>89</v>
      </c>
      <c r="H49" s="53">
        <v>3.75</v>
      </c>
      <c r="I49" s="4" t="s">
        <v>27</v>
      </c>
      <c r="J49" s="4" t="s">
        <v>74</v>
      </c>
      <c r="K49" s="4" t="s">
        <v>135</v>
      </c>
      <c r="L49" s="4"/>
      <c r="M49" s="2">
        <v>1.5</v>
      </c>
      <c r="N49" s="32" t="s">
        <v>122</v>
      </c>
      <c r="O49" s="32"/>
      <c r="P49" s="32"/>
      <c r="Q49" s="85" t="s">
        <v>119</v>
      </c>
      <c r="R49" s="32"/>
      <c r="S49" s="32"/>
      <c r="T49" s="32"/>
      <c r="U49" s="9">
        <v>46052</v>
      </c>
      <c r="V49" s="32">
        <v>46019</v>
      </c>
      <c r="W49" s="32">
        <v>46021</v>
      </c>
      <c r="X49" s="72">
        <v>10</v>
      </c>
      <c r="Y49" s="41">
        <f>AL49/1000</f>
        <v>45.493333333333332</v>
      </c>
      <c r="Z49" s="72">
        <v>9</v>
      </c>
      <c r="AA49" s="96"/>
      <c r="AB49" s="72">
        <v>64.3</v>
      </c>
      <c r="AC49" s="41">
        <f>AB49*1000</f>
        <v>64300</v>
      </c>
      <c r="AD49" s="41">
        <f>AB49*1000</f>
        <v>64300</v>
      </c>
      <c r="AE49" s="72">
        <v>124.2</v>
      </c>
      <c r="AF49" s="41">
        <f>AE49*1000</f>
        <v>124200</v>
      </c>
      <c r="AG49" s="41">
        <f>AF49/H49</f>
        <v>33120</v>
      </c>
      <c r="AH49" s="72">
        <v>170.6</v>
      </c>
      <c r="AI49" s="41">
        <f>AH49*1000</f>
        <v>170600</v>
      </c>
      <c r="AJ49" s="41">
        <f>AI49/H49</f>
        <v>45493.333333333336</v>
      </c>
      <c r="AK49" s="32"/>
      <c r="AL49" s="41">
        <f>AJ49</f>
        <v>45493.333333333336</v>
      </c>
      <c r="AM49" s="32"/>
      <c r="AN49" s="32"/>
      <c r="AO49" s="32"/>
      <c r="AP49" s="32"/>
      <c r="AQ49" s="32"/>
      <c r="AR49" s="32"/>
      <c r="AS49" s="32"/>
    </row>
    <row r="50" spans="1:45" ht="16" x14ac:dyDescent="0.4">
      <c r="A50" s="84"/>
      <c r="B50" s="23">
        <v>1386434</v>
      </c>
      <c r="C50" s="1" t="s">
        <v>75</v>
      </c>
      <c r="D50" s="73"/>
      <c r="E50" s="73"/>
      <c r="F50" s="1">
        <v>8374170477</v>
      </c>
      <c r="G50" s="17" t="s">
        <v>89</v>
      </c>
      <c r="H50" s="55"/>
      <c r="I50" s="4" t="s">
        <v>11</v>
      </c>
      <c r="J50" s="4" t="s">
        <v>80</v>
      </c>
      <c r="K50" s="4" t="s">
        <v>137</v>
      </c>
      <c r="L50" s="4"/>
      <c r="M50" s="2">
        <v>2.25</v>
      </c>
      <c r="N50" s="33"/>
      <c r="O50" s="33"/>
      <c r="P50" s="33"/>
      <c r="Q50" s="86"/>
      <c r="R50" s="33"/>
      <c r="S50" s="33"/>
      <c r="T50" s="33"/>
      <c r="U50" s="9">
        <v>46052</v>
      </c>
      <c r="V50" s="33"/>
      <c r="W50" s="33"/>
      <c r="X50" s="73"/>
      <c r="Y50" s="42"/>
      <c r="Z50" s="73"/>
      <c r="AA50" s="97"/>
      <c r="AB50" s="73"/>
      <c r="AC50" s="42"/>
      <c r="AD50" s="42"/>
      <c r="AE50" s="73"/>
      <c r="AF50" s="42"/>
      <c r="AG50" s="42"/>
      <c r="AH50" s="73"/>
      <c r="AI50" s="42"/>
      <c r="AJ50" s="42"/>
      <c r="AK50" s="33"/>
      <c r="AL50" s="42"/>
      <c r="AM50" s="33"/>
      <c r="AN50" s="33"/>
      <c r="AO50" s="33"/>
      <c r="AP50" s="33"/>
      <c r="AQ50" s="33"/>
      <c r="AR50" s="33"/>
      <c r="AS50" s="33"/>
    </row>
    <row r="51" spans="1:45" ht="16" x14ac:dyDescent="0.4">
      <c r="A51" s="83">
        <v>21</v>
      </c>
      <c r="B51" s="71">
        <v>1386405</v>
      </c>
      <c r="C51" s="68" t="s">
        <v>76</v>
      </c>
      <c r="D51" s="72" t="s">
        <v>32</v>
      </c>
      <c r="E51" s="72" t="s">
        <v>10</v>
      </c>
      <c r="F51" s="68">
        <v>9849972142</v>
      </c>
      <c r="G51" s="17" t="s">
        <v>89</v>
      </c>
      <c r="H51" s="53">
        <v>4.68</v>
      </c>
      <c r="I51" s="4" t="s">
        <v>41</v>
      </c>
      <c r="J51" s="4" t="s">
        <v>62</v>
      </c>
      <c r="K51" s="4" t="s">
        <v>140</v>
      </c>
      <c r="L51" s="4"/>
      <c r="M51" s="2">
        <v>3</v>
      </c>
      <c r="N51" s="32" t="s">
        <v>122</v>
      </c>
      <c r="O51" s="32"/>
      <c r="P51" s="32"/>
      <c r="Q51" s="85" t="s">
        <v>119</v>
      </c>
      <c r="R51" s="32"/>
      <c r="S51" s="32"/>
      <c r="T51" s="32"/>
      <c r="U51" s="62">
        <v>46052</v>
      </c>
      <c r="V51" s="62">
        <v>46017</v>
      </c>
      <c r="W51" s="62">
        <v>46020</v>
      </c>
      <c r="X51" s="72">
        <v>12</v>
      </c>
      <c r="Y51" s="41">
        <f>AL51/1000</f>
        <v>61.602564102564109</v>
      </c>
      <c r="Z51" s="72">
        <v>9</v>
      </c>
      <c r="AA51" s="96"/>
      <c r="AB51" s="72">
        <v>177.5</v>
      </c>
      <c r="AC51" s="41">
        <f>AB51*1000</f>
        <v>177500</v>
      </c>
      <c r="AD51" s="41">
        <f>AB51*1000</f>
        <v>177500</v>
      </c>
      <c r="AE51" s="72">
        <v>234.4</v>
      </c>
      <c r="AF51" s="41">
        <f>AE51*1000</f>
        <v>234400</v>
      </c>
      <c r="AG51" s="41">
        <f>AF51/H51</f>
        <v>50085.470085470086</v>
      </c>
      <c r="AH51" s="72">
        <v>288.3</v>
      </c>
      <c r="AI51" s="41">
        <f>AH51*1000</f>
        <v>288300</v>
      </c>
      <c r="AJ51" s="41">
        <f>AI51/H51</f>
        <v>61602.564102564109</v>
      </c>
      <c r="AK51" s="32"/>
      <c r="AL51" s="41">
        <f>AJ51</f>
        <v>61602.564102564109</v>
      </c>
      <c r="AM51" s="32"/>
      <c r="AN51" s="32"/>
      <c r="AO51" s="32"/>
      <c r="AP51" s="32"/>
      <c r="AQ51" s="32"/>
      <c r="AR51" s="32"/>
      <c r="AS51" s="32"/>
    </row>
    <row r="52" spans="1:45" ht="16" x14ac:dyDescent="0.4">
      <c r="A52" s="84"/>
      <c r="B52" s="67"/>
      <c r="C52" s="69"/>
      <c r="D52" s="73"/>
      <c r="E52" s="73"/>
      <c r="F52" s="69"/>
      <c r="G52" s="17" t="s">
        <v>89</v>
      </c>
      <c r="H52" s="55"/>
      <c r="I52" s="4" t="s">
        <v>11</v>
      </c>
      <c r="J52" s="4" t="s">
        <v>28</v>
      </c>
      <c r="K52" s="4" t="s">
        <v>137</v>
      </c>
      <c r="L52" s="4"/>
      <c r="M52" s="2">
        <v>1.68</v>
      </c>
      <c r="N52" s="33"/>
      <c r="O52" s="33"/>
      <c r="P52" s="33"/>
      <c r="Q52" s="86"/>
      <c r="R52" s="33"/>
      <c r="S52" s="33"/>
      <c r="T52" s="33"/>
      <c r="U52" s="63"/>
      <c r="V52" s="63"/>
      <c r="W52" s="63"/>
      <c r="X52" s="73"/>
      <c r="Y52" s="42"/>
      <c r="Z52" s="73"/>
      <c r="AA52" s="97"/>
      <c r="AB52" s="73"/>
      <c r="AC52" s="42"/>
      <c r="AD52" s="42"/>
      <c r="AE52" s="73"/>
      <c r="AF52" s="42"/>
      <c r="AG52" s="42"/>
      <c r="AH52" s="73"/>
      <c r="AI52" s="42"/>
      <c r="AJ52" s="42"/>
      <c r="AK52" s="33"/>
      <c r="AL52" s="42"/>
      <c r="AM52" s="33"/>
      <c r="AN52" s="33"/>
      <c r="AO52" s="33"/>
      <c r="AP52" s="33"/>
      <c r="AQ52" s="33"/>
      <c r="AR52" s="33"/>
      <c r="AS52" s="33"/>
    </row>
    <row r="53" spans="1:45" ht="16" x14ac:dyDescent="0.4">
      <c r="A53" s="83">
        <v>22</v>
      </c>
      <c r="B53" s="23">
        <v>1386318</v>
      </c>
      <c r="C53" s="1" t="s">
        <v>77</v>
      </c>
      <c r="D53" s="10" t="s">
        <v>32</v>
      </c>
      <c r="E53" s="10" t="s">
        <v>10</v>
      </c>
      <c r="F53" s="1">
        <v>9573045859</v>
      </c>
      <c r="G53" s="17" t="s">
        <v>89</v>
      </c>
      <c r="H53" s="53">
        <v>4</v>
      </c>
      <c r="I53" s="4" t="s">
        <v>27</v>
      </c>
      <c r="J53" s="4" t="s">
        <v>66</v>
      </c>
      <c r="K53" s="4" t="s">
        <v>133</v>
      </c>
      <c r="L53" s="4"/>
      <c r="M53" s="2">
        <v>2</v>
      </c>
      <c r="N53" s="32" t="s">
        <v>122</v>
      </c>
      <c r="O53" s="32"/>
      <c r="P53" s="32"/>
      <c r="Q53" s="85" t="s">
        <v>119</v>
      </c>
      <c r="R53" s="32"/>
      <c r="S53" s="32"/>
      <c r="T53" s="32"/>
      <c r="U53" s="9">
        <v>46052</v>
      </c>
      <c r="V53" s="62">
        <v>46016</v>
      </c>
      <c r="W53" s="62">
        <v>46019</v>
      </c>
      <c r="X53" s="72">
        <v>12</v>
      </c>
      <c r="Y53" s="41">
        <f>AL53/1000</f>
        <v>54.375</v>
      </c>
      <c r="Z53" s="72">
        <v>9</v>
      </c>
      <c r="AA53" s="96"/>
      <c r="AB53" s="72">
        <v>138.9</v>
      </c>
      <c r="AC53" s="41">
        <f>AB53*1000</f>
        <v>138900</v>
      </c>
      <c r="AD53" s="41">
        <f>AB53*1000</f>
        <v>138900</v>
      </c>
      <c r="AE53" s="72">
        <v>180.5</v>
      </c>
      <c r="AF53" s="41">
        <f>AE53*1000</f>
        <v>180500</v>
      </c>
      <c r="AG53" s="41">
        <f>AF53/H53</f>
        <v>45125</v>
      </c>
      <c r="AH53" s="72">
        <v>217.5</v>
      </c>
      <c r="AI53" s="41">
        <f>AH53*1000</f>
        <v>217500</v>
      </c>
      <c r="AJ53" s="41">
        <f>AI53/H53</f>
        <v>54375</v>
      </c>
      <c r="AK53" s="32"/>
      <c r="AL53" s="41">
        <f>AJ53</f>
        <v>54375</v>
      </c>
      <c r="AM53" s="32"/>
      <c r="AN53" s="32"/>
      <c r="AO53" s="32"/>
      <c r="AP53" s="32"/>
      <c r="AQ53" s="32"/>
      <c r="AR53" s="32"/>
      <c r="AS53" s="32"/>
    </row>
    <row r="54" spans="1:45" ht="16" x14ac:dyDescent="0.4">
      <c r="A54" s="84"/>
      <c r="B54" s="23">
        <v>1386319</v>
      </c>
      <c r="C54" s="3" t="s">
        <v>78</v>
      </c>
      <c r="D54" s="10" t="s">
        <v>32</v>
      </c>
      <c r="E54" s="10" t="s">
        <v>10</v>
      </c>
      <c r="F54" s="3">
        <v>9618193687</v>
      </c>
      <c r="G54" s="17" t="s">
        <v>89</v>
      </c>
      <c r="H54" s="55"/>
      <c r="I54" s="4" t="s">
        <v>17</v>
      </c>
      <c r="J54" s="4" t="s">
        <v>66</v>
      </c>
      <c r="K54" s="4" t="s">
        <v>141</v>
      </c>
      <c r="L54" s="4"/>
      <c r="M54" s="2">
        <v>2</v>
      </c>
      <c r="N54" s="33"/>
      <c r="O54" s="33"/>
      <c r="P54" s="33"/>
      <c r="Q54" s="86"/>
      <c r="R54" s="33"/>
      <c r="S54" s="33"/>
      <c r="T54" s="33"/>
      <c r="U54" s="9">
        <v>46052</v>
      </c>
      <c r="V54" s="63"/>
      <c r="W54" s="63"/>
      <c r="X54" s="73"/>
      <c r="Y54" s="42"/>
      <c r="Z54" s="73"/>
      <c r="AA54" s="97"/>
      <c r="AB54" s="73"/>
      <c r="AC54" s="42"/>
      <c r="AD54" s="42"/>
      <c r="AE54" s="73"/>
      <c r="AF54" s="42"/>
      <c r="AG54" s="42"/>
      <c r="AH54" s="73"/>
      <c r="AI54" s="42"/>
      <c r="AJ54" s="42"/>
      <c r="AK54" s="33"/>
      <c r="AL54" s="42"/>
      <c r="AM54" s="33"/>
      <c r="AN54" s="33"/>
      <c r="AO54" s="33"/>
      <c r="AP54" s="33"/>
      <c r="AQ54" s="33"/>
      <c r="AR54" s="33"/>
      <c r="AS54" s="33"/>
    </row>
    <row r="55" spans="1:45" ht="16" x14ac:dyDescent="0.4">
      <c r="A55" s="83">
        <v>23</v>
      </c>
      <c r="B55" s="71">
        <v>1386423</v>
      </c>
      <c r="C55" s="74" t="s">
        <v>79</v>
      </c>
      <c r="D55" s="72" t="s">
        <v>26</v>
      </c>
      <c r="E55" s="72" t="s">
        <v>10</v>
      </c>
      <c r="F55" s="74">
        <v>8374341625</v>
      </c>
      <c r="G55" s="17" t="s">
        <v>89</v>
      </c>
      <c r="H55" s="53">
        <v>3</v>
      </c>
      <c r="I55" s="4" t="s">
        <v>11</v>
      </c>
      <c r="J55" s="4" t="s">
        <v>59</v>
      </c>
      <c r="K55" s="4" t="s">
        <v>137</v>
      </c>
      <c r="L55" s="4"/>
      <c r="M55" s="2">
        <v>1.5</v>
      </c>
      <c r="N55" s="32" t="s">
        <v>122</v>
      </c>
      <c r="O55" s="32"/>
      <c r="P55" s="32"/>
      <c r="Q55" s="85" t="s">
        <v>118</v>
      </c>
      <c r="R55" s="32"/>
      <c r="S55" s="32"/>
      <c r="T55" s="32"/>
      <c r="U55" s="62">
        <v>46052</v>
      </c>
      <c r="V55" s="32">
        <v>45999</v>
      </c>
      <c r="W55" s="32">
        <v>46003</v>
      </c>
      <c r="X55" s="72">
        <v>12</v>
      </c>
      <c r="Y55" s="41">
        <f>AL55/1000</f>
        <v>68</v>
      </c>
      <c r="Z55" s="72">
        <v>9</v>
      </c>
      <c r="AA55" s="96"/>
      <c r="AB55" s="72">
        <v>123.6</v>
      </c>
      <c r="AC55" s="41">
        <f>AB55*1000</f>
        <v>123600</v>
      </c>
      <c r="AD55" s="41">
        <f>AB55*1000</f>
        <v>123600</v>
      </c>
      <c r="AE55" s="72">
        <v>158.69999999999999</v>
      </c>
      <c r="AF55" s="41">
        <f>AE55*1000</f>
        <v>158700</v>
      </c>
      <c r="AG55" s="41">
        <f>AF55/H55</f>
        <v>52900</v>
      </c>
      <c r="AH55" s="72">
        <v>204</v>
      </c>
      <c r="AI55" s="41">
        <f>AH55*1000</f>
        <v>204000</v>
      </c>
      <c r="AJ55" s="41">
        <f>AI55/H55</f>
        <v>68000</v>
      </c>
      <c r="AK55" s="32"/>
      <c r="AL55" s="41">
        <f>AJ55</f>
        <v>68000</v>
      </c>
      <c r="AM55" s="32"/>
      <c r="AN55" s="32"/>
      <c r="AO55" s="32"/>
      <c r="AP55" s="32"/>
      <c r="AQ55" s="32"/>
      <c r="AR55" s="32"/>
      <c r="AS55" s="32"/>
    </row>
    <row r="56" spans="1:45" ht="16" x14ac:dyDescent="0.4">
      <c r="A56" s="84"/>
      <c r="B56" s="67"/>
      <c r="C56" s="76"/>
      <c r="D56" s="73"/>
      <c r="E56" s="73"/>
      <c r="F56" s="76"/>
      <c r="G56" s="17" t="s">
        <v>89</v>
      </c>
      <c r="H56" s="55"/>
      <c r="I56" s="4" t="s">
        <v>27</v>
      </c>
      <c r="J56" s="4" t="s">
        <v>59</v>
      </c>
      <c r="K56" s="4" t="s">
        <v>130</v>
      </c>
      <c r="L56" s="4"/>
      <c r="M56" s="2">
        <v>1.5</v>
      </c>
      <c r="N56" s="33"/>
      <c r="O56" s="33"/>
      <c r="P56" s="33"/>
      <c r="Q56" s="86"/>
      <c r="R56" s="33"/>
      <c r="S56" s="33"/>
      <c r="T56" s="33"/>
      <c r="U56" s="63"/>
      <c r="V56" s="33"/>
      <c r="W56" s="33"/>
      <c r="X56" s="73"/>
      <c r="Y56" s="42"/>
      <c r="Z56" s="73"/>
      <c r="AA56" s="97"/>
      <c r="AB56" s="73"/>
      <c r="AC56" s="42"/>
      <c r="AD56" s="42"/>
      <c r="AE56" s="73"/>
      <c r="AF56" s="42"/>
      <c r="AG56" s="42"/>
      <c r="AH56" s="73"/>
      <c r="AI56" s="42"/>
      <c r="AJ56" s="42"/>
      <c r="AK56" s="33"/>
      <c r="AL56" s="42"/>
      <c r="AM56" s="33"/>
      <c r="AN56" s="33"/>
      <c r="AO56" s="33"/>
      <c r="AP56" s="33"/>
      <c r="AQ56" s="33"/>
      <c r="AR56" s="33"/>
      <c r="AS56" s="33"/>
    </row>
    <row r="57" spans="1:45" s="15" customFormat="1" ht="39" customHeight="1" x14ac:dyDescent="0.35">
      <c r="A57" s="88" t="s">
        <v>84</v>
      </c>
      <c r="B57" s="89"/>
      <c r="C57" s="89"/>
      <c r="D57" s="89"/>
      <c r="E57" s="89"/>
      <c r="F57" s="90"/>
      <c r="G57" s="18"/>
      <c r="H57" s="12">
        <f>SUM(H3:H56)</f>
        <v>100</v>
      </c>
      <c r="I57" s="13"/>
      <c r="J57" s="13"/>
      <c r="K57" s="13"/>
      <c r="L57" s="13"/>
      <c r="M57" s="12">
        <f>SUM(M3:M56)</f>
        <v>100</v>
      </c>
      <c r="N57" s="12"/>
      <c r="O57" s="12"/>
      <c r="P57" s="12"/>
      <c r="Q57" s="13"/>
      <c r="R57" s="12"/>
      <c r="S57" s="12"/>
      <c r="T57" s="12"/>
      <c r="U57" s="13"/>
      <c r="V57" s="13"/>
      <c r="W57" s="13"/>
      <c r="X57" s="13"/>
      <c r="Y57" s="13"/>
      <c r="Z57" s="13"/>
      <c r="AA57" s="12"/>
      <c r="AB57" s="13"/>
      <c r="AC57" s="14">
        <f>SUM(AC3:AC56)</f>
        <v>5477400</v>
      </c>
      <c r="AD57" s="14">
        <f>SUM(AD3:AD56)</f>
        <v>5214800</v>
      </c>
      <c r="AE57" s="13"/>
      <c r="AF57" s="14">
        <f>SUM(AF3:AF56)</f>
        <v>6587500</v>
      </c>
      <c r="AG57" s="14">
        <f>SUM(AG3:AG56)</f>
        <v>1413976.7773199338</v>
      </c>
      <c r="AH57" s="13"/>
      <c r="AI57" s="14">
        <f>SUM(AI3:AI56)</f>
        <v>7588300</v>
      </c>
      <c r="AJ57" s="14">
        <f>SUM(AJ3:AJ56)</f>
        <v>1653830.9662286392</v>
      </c>
      <c r="AK57" s="14"/>
      <c r="AL57" s="14">
        <f>AJ57</f>
        <v>1653830.9662286392</v>
      </c>
      <c r="AM57" s="13"/>
      <c r="AN57" s="13"/>
      <c r="AO57" s="13"/>
      <c r="AP57" s="13"/>
      <c r="AQ57" s="13"/>
      <c r="AR57" s="13"/>
      <c r="AS57" s="13"/>
    </row>
  </sheetData>
  <autoFilter ref="A2:AT57" xr:uid="{8A44FD35-7FF5-4897-B4F8-4124B1763283}"/>
  <mergeCells count="687">
    <mergeCell ref="AH55:AH56"/>
    <mergeCell ref="AI55:AI56"/>
    <mergeCell ref="AJ55:AJ56"/>
    <mergeCell ref="V6:V11"/>
    <mergeCell ref="AH49:AH50"/>
    <mergeCell ref="AI49:AI50"/>
    <mergeCell ref="AJ49:AJ50"/>
    <mergeCell ref="AH51:AH52"/>
    <mergeCell ref="AI51:AI52"/>
    <mergeCell ref="AJ51:AJ52"/>
    <mergeCell ref="AH53:AH54"/>
    <mergeCell ref="AI53:AI54"/>
    <mergeCell ref="AJ53:AJ54"/>
    <mergeCell ref="AH37:AH40"/>
    <mergeCell ref="AI37:AI40"/>
    <mergeCell ref="AJ37:AJ40"/>
    <mergeCell ref="AH42:AH43"/>
    <mergeCell ref="AI42:AI43"/>
    <mergeCell ref="AJ42:AJ43"/>
    <mergeCell ref="AH44:AH48"/>
    <mergeCell ref="AI44:AI48"/>
    <mergeCell ref="AJ44:AJ48"/>
    <mergeCell ref="AH31:AH32"/>
    <mergeCell ref="AI31:AI32"/>
    <mergeCell ref="AJ31:AJ32"/>
    <mergeCell ref="AH33:AH34"/>
    <mergeCell ref="AI33:AI34"/>
    <mergeCell ref="AJ33:AJ34"/>
    <mergeCell ref="AH35:AH36"/>
    <mergeCell ref="AI35:AI36"/>
    <mergeCell ref="AJ35:AJ36"/>
    <mergeCell ref="AH22:AH23"/>
    <mergeCell ref="AI22:AI23"/>
    <mergeCell ref="AJ22:AJ23"/>
    <mergeCell ref="AH24:AH25"/>
    <mergeCell ref="AI24:AI25"/>
    <mergeCell ref="AJ24:AJ25"/>
    <mergeCell ref="AH28:AH30"/>
    <mergeCell ref="AI28:AI30"/>
    <mergeCell ref="AJ28:AJ30"/>
    <mergeCell ref="AH14:AH15"/>
    <mergeCell ref="AI14:AI15"/>
    <mergeCell ref="AJ14:AJ15"/>
    <mergeCell ref="AH16:AH18"/>
    <mergeCell ref="AI16:AI18"/>
    <mergeCell ref="AJ16:AJ18"/>
    <mergeCell ref="AH19:AH21"/>
    <mergeCell ref="AI19:AI21"/>
    <mergeCell ref="AJ19:AJ21"/>
    <mergeCell ref="AB51:AB52"/>
    <mergeCell ref="AD51:AD52"/>
    <mergeCell ref="AB53:AB54"/>
    <mergeCell ref="AD53:AD54"/>
    <mergeCell ref="AB55:AB56"/>
    <mergeCell ref="AD55:AD56"/>
    <mergeCell ref="AB35:AB36"/>
    <mergeCell ref="AD35:AD36"/>
    <mergeCell ref="AB37:AB40"/>
    <mergeCell ref="AD37:AD40"/>
    <mergeCell ref="AB42:AB43"/>
    <mergeCell ref="AD42:AD43"/>
    <mergeCell ref="AB44:AB48"/>
    <mergeCell ref="AD44:AD48"/>
    <mergeCell ref="AB49:AB50"/>
    <mergeCell ref="AD49:AD50"/>
    <mergeCell ref="AC42:AC43"/>
    <mergeCell ref="AC44:AC48"/>
    <mergeCell ref="AC49:AC50"/>
    <mergeCell ref="AC51:AC52"/>
    <mergeCell ref="AC53:AC54"/>
    <mergeCell ref="AC55:AC56"/>
    <mergeCell ref="AB22:AB23"/>
    <mergeCell ref="AD22:AD23"/>
    <mergeCell ref="AB24:AB25"/>
    <mergeCell ref="AD24:AD25"/>
    <mergeCell ref="AB28:AB30"/>
    <mergeCell ref="AD28:AD30"/>
    <mergeCell ref="AB31:AB32"/>
    <mergeCell ref="AD31:AD32"/>
    <mergeCell ref="AB33:AB34"/>
    <mergeCell ref="AD33:AD34"/>
    <mergeCell ref="AC22:AC23"/>
    <mergeCell ref="AC24:AC25"/>
    <mergeCell ref="AC28:AC30"/>
    <mergeCell ref="AC31:AC32"/>
    <mergeCell ref="AB14:AB15"/>
    <mergeCell ref="AD14:AD15"/>
    <mergeCell ref="AB16:AB18"/>
    <mergeCell ref="AD16:AD18"/>
    <mergeCell ref="AB19:AB21"/>
    <mergeCell ref="AD19:AD21"/>
    <mergeCell ref="AC3:AC5"/>
    <mergeCell ref="AC14:AC15"/>
    <mergeCell ref="AC16:AC18"/>
    <mergeCell ref="AC19:AC21"/>
    <mergeCell ref="AA55:AA56"/>
    <mergeCell ref="P3:P5"/>
    <mergeCell ref="P14:P15"/>
    <mergeCell ref="P16:P18"/>
    <mergeCell ref="P19:P21"/>
    <mergeCell ref="P22:P23"/>
    <mergeCell ref="P24:P25"/>
    <mergeCell ref="P28:P30"/>
    <mergeCell ref="P31:P32"/>
    <mergeCell ref="P33:P34"/>
    <mergeCell ref="P35:P36"/>
    <mergeCell ref="P37:P40"/>
    <mergeCell ref="P42:P43"/>
    <mergeCell ref="P44:P48"/>
    <mergeCell ref="P49:P50"/>
    <mergeCell ref="P51:P52"/>
    <mergeCell ref="P53:P54"/>
    <mergeCell ref="P55:P56"/>
    <mergeCell ref="Z35:Z36"/>
    <mergeCell ref="Z37:Z40"/>
    <mergeCell ref="Z42:Z43"/>
    <mergeCell ref="Z44:Z48"/>
    <mergeCell ref="Z49:Z50"/>
    <mergeCell ref="Z51:Z52"/>
    <mergeCell ref="Z53:Z54"/>
    <mergeCell ref="Z55:Z56"/>
    <mergeCell ref="AA3:AA5"/>
    <mergeCell ref="AA14:AA15"/>
    <mergeCell ref="AA16:AA18"/>
    <mergeCell ref="AA19:AA21"/>
    <mergeCell ref="AA22:AA23"/>
    <mergeCell ref="AA24:AA25"/>
    <mergeCell ref="AA28:AA30"/>
    <mergeCell ref="AA31:AA32"/>
    <mergeCell ref="AA33:AA34"/>
    <mergeCell ref="AA35:AA36"/>
    <mergeCell ref="AA37:AA40"/>
    <mergeCell ref="AA42:AA43"/>
    <mergeCell ref="AA44:AA48"/>
    <mergeCell ref="AA49:AA50"/>
    <mergeCell ref="AA51:AA52"/>
    <mergeCell ref="AA53:AA54"/>
    <mergeCell ref="Z3:Z5"/>
    <mergeCell ref="Z14:Z15"/>
    <mergeCell ref="Z16:Z18"/>
    <mergeCell ref="Z19:Z21"/>
    <mergeCell ref="Z22:Z23"/>
    <mergeCell ref="Z24:Z25"/>
    <mergeCell ref="Z28:Z30"/>
    <mergeCell ref="Z31:Z32"/>
    <mergeCell ref="Z33:Z34"/>
    <mergeCell ref="X44:X48"/>
    <mergeCell ref="X49:X50"/>
    <mergeCell ref="X51:X52"/>
    <mergeCell ref="X53:X54"/>
    <mergeCell ref="X55:X56"/>
    <mergeCell ref="Y3:Y5"/>
    <mergeCell ref="Y14:Y15"/>
    <mergeCell ref="Y16:Y18"/>
    <mergeCell ref="Y19:Y21"/>
    <mergeCell ref="Y22:Y23"/>
    <mergeCell ref="Y24:Y25"/>
    <mergeCell ref="Y28:Y30"/>
    <mergeCell ref="Y31:Y32"/>
    <mergeCell ref="Y33:Y34"/>
    <mergeCell ref="Y35:Y36"/>
    <mergeCell ref="Y37:Y40"/>
    <mergeCell ref="Y42:Y43"/>
    <mergeCell ref="Y44:Y48"/>
    <mergeCell ref="Y49:Y50"/>
    <mergeCell ref="Y51:Y52"/>
    <mergeCell ref="Y53:Y54"/>
    <mergeCell ref="Y55:Y56"/>
    <mergeCell ref="X3:X5"/>
    <mergeCell ref="X14:X15"/>
    <mergeCell ref="X16:X18"/>
    <mergeCell ref="X19:X21"/>
    <mergeCell ref="X22:X23"/>
    <mergeCell ref="X24:X25"/>
    <mergeCell ref="X28:X30"/>
    <mergeCell ref="X31:X32"/>
    <mergeCell ref="X42:X43"/>
    <mergeCell ref="X6:X11"/>
    <mergeCell ref="Y6:Y11"/>
    <mergeCell ref="W37:W40"/>
    <mergeCell ref="W42:W43"/>
    <mergeCell ref="W44:W48"/>
    <mergeCell ref="W49:W50"/>
    <mergeCell ref="W51:W52"/>
    <mergeCell ref="W53:W54"/>
    <mergeCell ref="W55:W56"/>
    <mergeCell ref="T3:T5"/>
    <mergeCell ref="T14:T15"/>
    <mergeCell ref="W14:W15"/>
    <mergeCell ref="W16:W18"/>
    <mergeCell ref="W19:W21"/>
    <mergeCell ref="W22:W23"/>
    <mergeCell ref="W24:W25"/>
    <mergeCell ref="W28:W30"/>
    <mergeCell ref="W31:W32"/>
    <mergeCell ref="W33:W34"/>
    <mergeCell ref="W35:W36"/>
    <mergeCell ref="U16:U17"/>
    <mergeCell ref="W6:W11"/>
    <mergeCell ref="T16:T18"/>
    <mergeCell ref="T19:T21"/>
    <mergeCell ref="T22:T23"/>
    <mergeCell ref="T24:T25"/>
    <mergeCell ref="Q53:Q54"/>
    <mergeCell ref="S3:S5"/>
    <mergeCell ref="S14:S15"/>
    <mergeCell ref="S16:S18"/>
    <mergeCell ref="S19:S21"/>
    <mergeCell ref="S22:S23"/>
    <mergeCell ref="S24:S25"/>
    <mergeCell ref="S28:S30"/>
    <mergeCell ref="S31:S32"/>
    <mergeCell ref="S33:S34"/>
    <mergeCell ref="S35:S36"/>
    <mergeCell ref="S37:S40"/>
    <mergeCell ref="S42:S43"/>
    <mergeCell ref="S44:S48"/>
    <mergeCell ref="S49:S50"/>
    <mergeCell ref="S51:S52"/>
    <mergeCell ref="S53:S54"/>
    <mergeCell ref="Q3:Q5"/>
    <mergeCell ref="Q19:Q21"/>
    <mergeCell ref="Q22:Q23"/>
    <mergeCell ref="Q31:Q32"/>
    <mergeCell ref="R3:R5"/>
    <mergeCell ref="R14:R15"/>
    <mergeCell ref="R16:R18"/>
    <mergeCell ref="T28:T30"/>
    <mergeCell ref="T31:T32"/>
    <mergeCell ref="S55:S56"/>
    <mergeCell ref="R19:R21"/>
    <mergeCell ref="R22:R23"/>
    <mergeCell ref="R24:R25"/>
    <mergeCell ref="R28:R30"/>
    <mergeCell ref="R31:R32"/>
    <mergeCell ref="R33:R34"/>
    <mergeCell ref="R35:R36"/>
    <mergeCell ref="R37:R40"/>
    <mergeCell ref="R51:R52"/>
    <mergeCell ref="R53:R54"/>
    <mergeCell ref="T51:T52"/>
    <mergeCell ref="T53:T54"/>
    <mergeCell ref="T55:T56"/>
    <mergeCell ref="AF28:AF30"/>
    <mergeCell ref="AE35:AE36"/>
    <mergeCell ref="A57:F57"/>
    <mergeCell ref="A3:A5"/>
    <mergeCell ref="D14:D15"/>
    <mergeCell ref="E14:E15"/>
    <mergeCell ref="E16:E18"/>
    <mergeCell ref="D16:D18"/>
    <mergeCell ref="D28:D30"/>
    <mergeCell ref="AE14:AE15"/>
    <mergeCell ref="AE16:AE18"/>
    <mergeCell ref="AE49:AE50"/>
    <mergeCell ref="AE28:AE30"/>
    <mergeCell ref="AF35:AF36"/>
    <mergeCell ref="U3:U5"/>
    <mergeCell ref="AE3:AE5"/>
    <mergeCell ref="AF51:AF52"/>
    <mergeCell ref="U19:U21"/>
    <mergeCell ref="Q33:Q34"/>
    <mergeCell ref="Q14:Q15"/>
    <mergeCell ref="Q16:Q18"/>
    <mergeCell ref="Q24:Q25"/>
    <mergeCell ref="Q28:Q30"/>
    <mergeCell ref="Q35:Q36"/>
    <mergeCell ref="AE24:AE25"/>
    <mergeCell ref="U42:U43"/>
    <mergeCell ref="U44:U45"/>
    <mergeCell ref="U47:U48"/>
    <mergeCell ref="Q42:Q43"/>
    <mergeCell ref="U28:U30"/>
    <mergeCell ref="Q44:Q48"/>
    <mergeCell ref="Q49:Q50"/>
    <mergeCell ref="T33:T34"/>
    <mergeCell ref="T35:T36"/>
    <mergeCell ref="T37:T40"/>
    <mergeCell ref="T42:T43"/>
    <mergeCell ref="T44:T48"/>
    <mergeCell ref="T49:T50"/>
    <mergeCell ref="X33:X34"/>
    <mergeCell ref="X35:X36"/>
    <mergeCell ref="X37:X40"/>
    <mergeCell ref="Q37:Q40"/>
    <mergeCell ref="AC33:AC34"/>
    <mergeCell ref="AC35:AC36"/>
    <mergeCell ref="AC37:AC40"/>
    <mergeCell ref="R42:R43"/>
    <mergeCell ref="R44:R48"/>
    <mergeCell ref="R49:R50"/>
    <mergeCell ref="AF24:AF25"/>
    <mergeCell ref="AF14:AF15"/>
    <mergeCell ref="AF16:AF18"/>
    <mergeCell ref="AF49:AF50"/>
    <mergeCell ref="AF55:AF56"/>
    <mergeCell ref="H3:H5"/>
    <mergeCell ref="F3:F5"/>
    <mergeCell ref="E3:E5"/>
    <mergeCell ref="D3:D5"/>
    <mergeCell ref="AF33:AF34"/>
    <mergeCell ref="AF42:AF43"/>
    <mergeCell ref="AF44:AF48"/>
    <mergeCell ref="AF37:AF40"/>
    <mergeCell ref="AF19:AF21"/>
    <mergeCell ref="AF22:AF23"/>
    <mergeCell ref="AF31:AF32"/>
    <mergeCell ref="AF3:AF5"/>
    <mergeCell ref="AF53:AF54"/>
    <mergeCell ref="U51:U52"/>
    <mergeCell ref="U55:U56"/>
    <mergeCell ref="U33:U34"/>
    <mergeCell ref="U37:U38"/>
    <mergeCell ref="U39:U40"/>
    <mergeCell ref="E28:E30"/>
    <mergeCell ref="AE55:AE56"/>
    <mergeCell ref="AE44:AE48"/>
    <mergeCell ref="AE53:AE54"/>
    <mergeCell ref="AE37:AE40"/>
    <mergeCell ref="F55:F56"/>
    <mergeCell ref="H55:H56"/>
    <mergeCell ref="AE19:AE21"/>
    <mergeCell ref="AE22:AE23"/>
    <mergeCell ref="AE31:AE32"/>
    <mergeCell ref="AE33:AE34"/>
    <mergeCell ref="H51:H52"/>
    <mergeCell ref="F44:F45"/>
    <mergeCell ref="H44:H48"/>
    <mergeCell ref="F37:F38"/>
    <mergeCell ref="H37:H40"/>
    <mergeCell ref="F31:F32"/>
    <mergeCell ref="H31:H32"/>
    <mergeCell ref="U22:U23"/>
    <mergeCell ref="U31:U32"/>
    <mergeCell ref="AE42:AE43"/>
    <mergeCell ref="AE51:AE52"/>
    <mergeCell ref="Q51:Q52"/>
    <mergeCell ref="Q55:Q56"/>
    <mergeCell ref="N33:N34"/>
    <mergeCell ref="A53:A54"/>
    <mergeCell ref="H53:H54"/>
    <mergeCell ref="A55:A56"/>
    <mergeCell ref="B55:B56"/>
    <mergeCell ref="C55:C56"/>
    <mergeCell ref="D55:D56"/>
    <mergeCell ref="E55:E56"/>
    <mergeCell ref="A49:A50"/>
    <mergeCell ref="H49:H50"/>
    <mergeCell ref="A51:A52"/>
    <mergeCell ref="B51:B52"/>
    <mergeCell ref="C51:C52"/>
    <mergeCell ref="D51:D52"/>
    <mergeCell ref="E51:E52"/>
    <mergeCell ref="F51:F52"/>
    <mergeCell ref="D49:D50"/>
    <mergeCell ref="E49:E50"/>
    <mergeCell ref="B47:B48"/>
    <mergeCell ref="C47:C48"/>
    <mergeCell ref="F47:F48"/>
    <mergeCell ref="F42:F43"/>
    <mergeCell ref="H42:H43"/>
    <mergeCell ref="A44:A48"/>
    <mergeCell ref="B44:B45"/>
    <mergeCell ref="C44:C45"/>
    <mergeCell ref="A42:A43"/>
    <mergeCell ref="B42:B43"/>
    <mergeCell ref="C42:C43"/>
    <mergeCell ref="D42:D43"/>
    <mergeCell ref="E42:E43"/>
    <mergeCell ref="D44:D48"/>
    <mergeCell ref="E44:E48"/>
    <mergeCell ref="B39:B40"/>
    <mergeCell ref="C39:C40"/>
    <mergeCell ref="D39:D40"/>
    <mergeCell ref="E39:E40"/>
    <mergeCell ref="F39:F40"/>
    <mergeCell ref="F33:F34"/>
    <mergeCell ref="H33:H34"/>
    <mergeCell ref="A35:A36"/>
    <mergeCell ref="H35:H36"/>
    <mergeCell ref="A37:A40"/>
    <mergeCell ref="B37:B38"/>
    <mergeCell ref="C37:C38"/>
    <mergeCell ref="D37:D38"/>
    <mergeCell ref="E37:E38"/>
    <mergeCell ref="A33:A34"/>
    <mergeCell ref="B33:B34"/>
    <mergeCell ref="C33:C34"/>
    <mergeCell ref="D33:D34"/>
    <mergeCell ref="E33:E34"/>
    <mergeCell ref="AG44:AG48"/>
    <mergeCell ref="AG49:AG50"/>
    <mergeCell ref="AG51:AG52"/>
    <mergeCell ref="AG53:AG54"/>
    <mergeCell ref="AG55:AG56"/>
    <mergeCell ref="AG3:AG5"/>
    <mergeCell ref="AG14:AG15"/>
    <mergeCell ref="AG16:AG18"/>
    <mergeCell ref="AG19:AG21"/>
    <mergeCell ref="AG22:AG23"/>
    <mergeCell ref="AG24:AG25"/>
    <mergeCell ref="AG28:AG30"/>
    <mergeCell ref="AG31:AG32"/>
    <mergeCell ref="AG6:AG11"/>
    <mergeCell ref="AM1:AT1"/>
    <mergeCell ref="U1:AL1"/>
    <mergeCell ref="AG33:AG34"/>
    <mergeCell ref="AG35:AG36"/>
    <mergeCell ref="AG37:AG40"/>
    <mergeCell ref="AG42:AG43"/>
    <mergeCell ref="A14:A15"/>
    <mergeCell ref="H14:H15"/>
    <mergeCell ref="A16:A18"/>
    <mergeCell ref="B16:B17"/>
    <mergeCell ref="C16:C17"/>
    <mergeCell ref="F16:F17"/>
    <mergeCell ref="B3:B4"/>
    <mergeCell ref="C3:C4"/>
    <mergeCell ref="A22:A23"/>
    <mergeCell ref="D22:D23"/>
    <mergeCell ref="E22:E23"/>
    <mergeCell ref="F22:F23"/>
    <mergeCell ref="H22:H23"/>
    <mergeCell ref="H16:H18"/>
    <mergeCell ref="A19:A21"/>
    <mergeCell ref="D19:D21"/>
    <mergeCell ref="E19:E21"/>
    <mergeCell ref="F19:F21"/>
    <mergeCell ref="N14:N15"/>
    <mergeCell ref="N16:N18"/>
    <mergeCell ref="N19:N21"/>
    <mergeCell ref="N22:N23"/>
    <mergeCell ref="N24:N25"/>
    <mergeCell ref="N28:N30"/>
    <mergeCell ref="N31:N32"/>
    <mergeCell ref="A1:G1"/>
    <mergeCell ref="H1:M1"/>
    <mergeCell ref="N1:T1"/>
    <mergeCell ref="H19:H21"/>
    <mergeCell ref="B20:B21"/>
    <mergeCell ref="C20:C21"/>
    <mergeCell ref="A24:A25"/>
    <mergeCell ref="H24:H25"/>
    <mergeCell ref="A28:A30"/>
    <mergeCell ref="H28:H30"/>
    <mergeCell ref="A31:A32"/>
    <mergeCell ref="B31:B32"/>
    <mergeCell ref="C31:C32"/>
    <mergeCell ref="D31:D32"/>
    <mergeCell ref="E31:E32"/>
    <mergeCell ref="C6:C8"/>
    <mergeCell ref="D6:D11"/>
    <mergeCell ref="N35:N36"/>
    <mergeCell ref="N37:N40"/>
    <mergeCell ref="N42:N43"/>
    <mergeCell ref="N44:N48"/>
    <mergeCell ref="N49:N50"/>
    <mergeCell ref="N51:N52"/>
    <mergeCell ref="N53:N54"/>
    <mergeCell ref="N55:N56"/>
    <mergeCell ref="O3:O5"/>
    <mergeCell ref="O14:O15"/>
    <mergeCell ref="O16:O18"/>
    <mergeCell ref="O19:O21"/>
    <mergeCell ref="O22:O23"/>
    <mergeCell ref="O24:O25"/>
    <mergeCell ref="O28:O30"/>
    <mergeCell ref="O31:O32"/>
    <mergeCell ref="O33:O34"/>
    <mergeCell ref="O35:O36"/>
    <mergeCell ref="O37:O40"/>
    <mergeCell ref="O42:O43"/>
    <mergeCell ref="O44:O48"/>
    <mergeCell ref="O49:O50"/>
    <mergeCell ref="O51:O52"/>
    <mergeCell ref="N3:N5"/>
    <mergeCell ref="O53:O54"/>
    <mergeCell ref="O55:O56"/>
    <mergeCell ref="V3:V5"/>
    <mergeCell ref="V14:V15"/>
    <mergeCell ref="V16:V18"/>
    <mergeCell ref="V19:V21"/>
    <mergeCell ref="V22:V23"/>
    <mergeCell ref="V24:V25"/>
    <mergeCell ref="V28:V30"/>
    <mergeCell ref="V31:V32"/>
    <mergeCell ref="V33:V34"/>
    <mergeCell ref="V35:V36"/>
    <mergeCell ref="V37:V40"/>
    <mergeCell ref="V42:V43"/>
    <mergeCell ref="V44:V48"/>
    <mergeCell ref="V49:V50"/>
    <mergeCell ref="V51:V52"/>
    <mergeCell ref="V53:V54"/>
    <mergeCell ref="V55:V56"/>
    <mergeCell ref="P6:P11"/>
    <mergeCell ref="Q6:Q11"/>
    <mergeCell ref="R6:R11"/>
    <mergeCell ref="S6:S11"/>
    <mergeCell ref="R55:R56"/>
    <mergeCell ref="E6:E11"/>
    <mergeCell ref="F6:F11"/>
    <mergeCell ref="H6:H11"/>
    <mergeCell ref="B6:B8"/>
    <mergeCell ref="A6:A11"/>
    <mergeCell ref="N6:N11"/>
    <mergeCell ref="O6:O11"/>
    <mergeCell ref="T6:T11"/>
    <mergeCell ref="U6:U11"/>
    <mergeCell ref="Z6:Z11"/>
    <mergeCell ref="AA6:AA11"/>
    <mergeCell ref="AE6:AE11"/>
    <mergeCell ref="AF6:AF11"/>
    <mergeCell ref="AK6:AK11"/>
    <mergeCell ref="AK3:AK5"/>
    <mergeCell ref="W3:W5"/>
    <mergeCell ref="AB3:AB5"/>
    <mergeCell ref="AD3:AD5"/>
    <mergeCell ref="AB6:AB11"/>
    <mergeCell ref="AC6:AC11"/>
    <mergeCell ref="AD6:AD11"/>
    <mergeCell ref="AH3:AH5"/>
    <mergeCell ref="AI3:AI5"/>
    <mergeCell ref="AJ3:AJ5"/>
    <mergeCell ref="AH6:AH11"/>
    <mergeCell ref="AI6:AI11"/>
    <mergeCell ref="AJ6:AJ11"/>
    <mergeCell ref="AK14:AK15"/>
    <mergeCell ref="AK16:AK18"/>
    <mergeCell ref="AK19:AK21"/>
    <mergeCell ref="AK22:AK23"/>
    <mergeCell ref="AK24:AK25"/>
    <mergeCell ref="AK28:AK30"/>
    <mergeCell ref="AK31:AK32"/>
    <mergeCell ref="AK33:AK34"/>
    <mergeCell ref="AK35:AK36"/>
    <mergeCell ref="AK37:AK40"/>
    <mergeCell ref="AK42:AK43"/>
    <mergeCell ref="AK44:AK48"/>
    <mergeCell ref="AK49:AK50"/>
    <mergeCell ref="AK51:AK52"/>
    <mergeCell ref="AK53:AK54"/>
    <mergeCell ref="AK55:AK56"/>
    <mergeCell ref="AL3:AL5"/>
    <mergeCell ref="AL6:AL11"/>
    <mergeCell ref="AL14:AL15"/>
    <mergeCell ref="AL16:AL18"/>
    <mergeCell ref="AL19:AL21"/>
    <mergeCell ref="AL22:AL23"/>
    <mergeCell ref="AL24:AL25"/>
    <mergeCell ref="AL28:AL30"/>
    <mergeCell ref="AL31:AL32"/>
    <mergeCell ref="AL33:AL34"/>
    <mergeCell ref="AL35:AL36"/>
    <mergeCell ref="AL37:AL40"/>
    <mergeCell ref="AL42:AL43"/>
    <mergeCell ref="AL44:AL48"/>
    <mergeCell ref="AL49:AL50"/>
    <mergeCell ref="AL51:AL52"/>
    <mergeCell ref="AL53:AL54"/>
    <mergeCell ref="AL55:AL56"/>
    <mergeCell ref="AM3:AM5"/>
    <mergeCell ref="AM6:AM11"/>
    <mergeCell ref="AM14:AM15"/>
    <mergeCell ref="AM16:AM18"/>
    <mergeCell ref="AM19:AM21"/>
    <mergeCell ref="AM22:AM23"/>
    <mergeCell ref="AM24:AM25"/>
    <mergeCell ref="AM28:AM30"/>
    <mergeCell ref="AM31:AM32"/>
    <mergeCell ref="AM33:AM34"/>
    <mergeCell ref="AM35:AM36"/>
    <mergeCell ref="AM37:AM40"/>
    <mergeCell ref="AM42:AM43"/>
    <mergeCell ref="AM44:AM48"/>
    <mergeCell ref="AM49:AM50"/>
    <mergeCell ref="AM51:AM52"/>
    <mergeCell ref="AM53:AM54"/>
    <mergeCell ref="AM55:AM56"/>
    <mergeCell ref="AN3:AN5"/>
    <mergeCell ref="AN6:AN11"/>
    <mergeCell ref="AN14:AN15"/>
    <mergeCell ref="AN16:AN18"/>
    <mergeCell ref="AN19:AN21"/>
    <mergeCell ref="AN22:AN23"/>
    <mergeCell ref="AN24:AN25"/>
    <mergeCell ref="AN28:AN30"/>
    <mergeCell ref="AN31:AN32"/>
    <mergeCell ref="AN33:AN34"/>
    <mergeCell ref="AN35:AN36"/>
    <mergeCell ref="AN37:AN40"/>
    <mergeCell ref="AN42:AN43"/>
    <mergeCell ref="AN44:AN48"/>
    <mergeCell ref="AN49:AN50"/>
    <mergeCell ref="AN51:AN52"/>
    <mergeCell ref="AN53:AN54"/>
    <mergeCell ref="AN55:AN56"/>
    <mergeCell ref="AO3:AO5"/>
    <mergeCell ref="AO6:AO11"/>
    <mergeCell ref="AO14:AO15"/>
    <mergeCell ref="AO16:AO18"/>
    <mergeCell ref="AO19:AO21"/>
    <mergeCell ref="AO22:AO23"/>
    <mergeCell ref="AO24:AO25"/>
    <mergeCell ref="AO28:AO30"/>
    <mergeCell ref="AO31:AO32"/>
    <mergeCell ref="AO33:AO34"/>
    <mergeCell ref="AO35:AO36"/>
    <mergeCell ref="AO37:AO40"/>
    <mergeCell ref="AO42:AO43"/>
    <mergeCell ref="AO44:AO48"/>
    <mergeCell ref="AO49:AO50"/>
    <mergeCell ref="AO51:AO52"/>
    <mergeCell ref="AO53:AO54"/>
    <mergeCell ref="AO55:AO56"/>
    <mergeCell ref="AP3:AP5"/>
    <mergeCell ref="AP6:AP11"/>
    <mergeCell ref="AP14:AP15"/>
    <mergeCell ref="AP16:AP18"/>
    <mergeCell ref="AP19:AP21"/>
    <mergeCell ref="AP22:AP23"/>
    <mergeCell ref="AP24:AP25"/>
    <mergeCell ref="AP28:AP30"/>
    <mergeCell ref="AP31:AP32"/>
    <mergeCell ref="AP33:AP34"/>
    <mergeCell ref="AP35:AP36"/>
    <mergeCell ref="AP37:AP40"/>
    <mergeCell ref="AP42:AP43"/>
    <mergeCell ref="AP44:AP48"/>
    <mergeCell ref="AP49:AP50"/>
    <mergeCell ref="AP51:AP52"/>
    <mergeCell ref="AP53:AP54"/>
    <mergeCell ref="AP55:AP56"/>
    <mergeCell ref="AQ3:AQ5"/>
    <mergeCell ref="AQ6:AQ11"/>
    <mergeCell ref="AQ14:AQ15"/>
    <mergeCell ref="AQ16:AQ18"/>
    <mergeCell ref="AQ19:AQ21"/>
    <mergeCell ref="AQ22:AQ23"/>
    <mergeCell ref="AQ24:AQ25"/>
    <mergeCell ref="AQ28:AQ30"/>
    <mergeCell ref="AQ31:AQ32"/>
    <mergeCell ref="AQ33:AQ34"/>
    <mergeCell ref="AQ35:AQ36"/>
    <mergeCell ref="AQ37:AQ40"/>
    <mergeCell ref="AQ42:AQ43"/>
    <mergeCell ref="AQ44:AQ48"/>
    <mergeCell ref="AQ49:AQ50"/>
    <mergeCell ref="AQ51:AQ52"/>
    <mergeCell ref="AQ53:AQ54"/>
    <mergeCell ref="AQ55:AQ56"/>
    <mergeCell ref="AR3:AR5"/>
    <mergeCell ref="AR6:AR11"/>
    <mergeCell ref="AR14:AR15"/>
    <mergeCell ref="AR16:AR18"/>
    <mergeCell ref="AR19:AR21"/>
    <mergeCell ref="AR22:AR23"/>
    <mergeCell ref="AR24:AR25"/>
    <mergeCell ref="AR28:AR30"/>
    <mergeCell ref="AR31:AR32"/>
    <mergeCell ref="AR33:AR34"/>
    <mergeCell ref="AR35:AR36"/>
    <mergeCell ref="AR37:AR40"/>
    <mergeCell ref="AR42:AR43"/>
    <mergeCell ref="AR44:AR48"/>
    <mergeCell ref="AR49:AR50"/>
    <mergeCell ref="AR51:AR52"/>
    <mergeCell ref="AR53:AR54"/>
    <mergeCell ref="AR55:AR56"/>
    <mergeCell ref="AS3:AS5"/>
    <mergeCell ref="AS6:AS11"/>
    <mergeCell ref="AS14:AS15"/>
    <mergeCell ref="AS16:AS18"/>
    <mergeCell ref="AS19:AS21"/>
    <mergeCell ref="AS22:AS23"/>
    <mergeCell ref="AS24:AS25"/>
    <mergeCell ref="AS28:AS30"/>
    <mergeCell ref="AS31:AS32"/>
    <mergeCell ref="AS33:AS34"/>
    <mergeCell ref="AS35:AS36"/>
    <mergeCell ref="AS37:AS40"/>
    <mergeCell ref="AS42:AS43"/>
    <mergeCell ref="AS44:AS48"/>
    <mergeCell ref="AS49:AS50"/>
    <mergeCell ref="AS51:AS52"/>
    <mergeCell ref="AS53:AS54"/>
    <mergeCell ref="AS55:AS5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AEF0-D395-4D02-AF53-1E8EB583B01F}">
  <dimension ref="G13:T18"/>
  <sheetViews>
    <sheetView topLeftCell="B1" workbookViewId="0">
      <selection activeCell="H17" sqref="H17"/>
    </sheetView>
  </sheetViews>
  <sheetFormatPr defaultRowHeight="14.5" x14ac:dyDescent="0.35"/>
  <sheetData>
    <row r="13" spans="7:20" x14ac:dyDescent="0.35">
      <c r="G13">
        <v>5</v>
      </c>
      <c r="H13">
        <v>6</v>
      </c>
      <c r="I13">
        <v>9</v>
      </c>
      <c r="J13">
        <v>12</v>
      </c>
      <c r="K13">
        <v>13</v>
      </c>
      <c r="L13">
        <v>16</v>
      </c>
      <c r="M13">
        <v>17</v>
      </c>
      <c r="N13">
        <v>19</v>
      </c>
      <c r="O13">
        <v>20</v>
      </c>
      <c r="P13">
        <v>21</v>
      </c>
      <c r="Q13">
        <v>25</v>
      </c>
      <c r="R13">
        <v>28</v>
      </c>
      <c r="S13">
        <v>29</v>
      </c>
      <c r="T13">
        <v>30</v>
      </c>
    </row>
    <row r="16" spans="7:20" x14ac:dyDescent="0.35">
      <c r="G16">
        <f>250/14</f>
        <v>17.857142857142858</v>
      </c>
    </row>
    <row r="17" spans="7:7" x14ac:dyDescent="0.35">
      <c r="G17">
        <f>78-17</f>
        <v>61</v>
      </c>
    </row>
    <row r="18" spans="7:7" x14ac:dyDescent="0.35">
      <c r="G18">
        <f>G17/3</f>
        <v>20.333333333333332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 Subbarao | Orbia (Netafim)</dc:creator>
  <cp:lastModifiedBy>Nitin Bhoyar | Orbia (Netafim)</cp:lastModifiedBy>
  <dcterms:created xsi:type="dcterms:W3CDTF">2026-01-31T06:44:37Z</dcterms:created>
  <dcterms:modified xsi:type="dcterms:W3CDTF">2026-02-18T12:19:16Z</dcterms:modified>
</cp:coreProperties>
</file>